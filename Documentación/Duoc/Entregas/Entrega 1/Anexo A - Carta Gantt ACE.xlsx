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9c17fea33b43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 de trabajo" sheetId="1" r:id="R4ad1f89d66064ec5"/>
    <x:sheet xmlns:r="http://schemas.openxmlformats.org/officeDocument/2006/relationships" name="Carta Gantt" sheetId="2" r:id="R07401cd6f8f14c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&quot;S&quot;0"/>
    <x:numFmt numFmtId="202" formatCode="dd-mmm"/>
  </x:numFmts>
  <x:fonts count="14">
    <x:font>
      <x:sz val="11"/>
      <x:name val="Carlito"/>
    </x:font>
    <x:font>
      <x:b/>
      <x:sz val="16"/>
      <x:color rgb="FF1F3B63"/>
      <x:name val="Arial"/>
    </x:font>
    <x:font>
      <x:i/>
      <x:sz val="10"/>
      <x:color rgb="FF5B6573"/>
      <x:name val="Arial"/>
    </x:font>
    <x:font>
      <x:sz val="9"/>
      <x:color rgb="FF475569"/>
      <x:name val="Arial"/>
    </x:font>
    <x:font>
      <x:b/>
      <x:sz val="10"/>
      <x:color rgb="FFFFFFFF"/>
      <x:name val="Arial"/>
    </x:font>
    <x:font>
      <x:sz val="9"/>
      <x:color rgb="FF1F2937"/>
      <x:name val="Arial"/>
    </x:font>
    <x:font>
      <x:b/>
      <x:sz val="9"/>
      <x:color rgb="FF1F3B63"/>
      <x:name val="Arial"/>
    </x:font>
    <x:font>
      <x:b/>
      <x:sz val="13"/>
      <x:color rgb="FF1F3B63"/>
      <x:name val="Arial"/>
    </x:font>
    <x:font>
      <x:b/>
      <x:sz val="9"/>
      <x:color rgb="FF7F6000"/>
      <x:name val="Arial"/>
    </x:font>
    <x:font>
      <x:b/>
      <x:sz val="9"/>
      <x:color rgb="FF548235"/>
      <x:name val="Arial"/>
    </x:font>
    <x:font>
      <x:b/>
      <x:sz val="9"/>
      <x:color rgb="FFFFFFFF"/>
      <x:name val="Arial"/>
    </x:font>
    <x:font>
      <x:b/>
      <x:sz val="8"/>
      <x:color rgb="FF1F3B63"/>
      <x:name val="Arial"/>
    </x:font>
    <x:font>
      <x:b/>
      <x:sz val="8"/>
      <x:color rgb="FF7F6000"/>
      <x:name val="Arial"/>
    </x:font>
    <x:font>
      <x:b/>
      <x:sz val="8"/>
      <x:color rgb="FF548235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F8FAFC"/>
      </x:patternFill>
    </x:fill>
    <x:fill>
      <x:patternFill patternType="solid">
        <x:fgColor rgb="FF1F3B63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4472C4"/>
      </x:patternFill>
    </x:fill>
    <x:fill>
      <x:patternFill patternType="solid">
        <x:fgColor rgb="FFD9A300"/>
      </x:patternFill>
    </x:fill>
    <x:fill>
      <x:patternFill patternType="solid">
        <x:fgColor rgb="FF548235"/>
      </x:patternFill>
    </x:fill>
    <x:fill>
      <x:patternFill patternType="solid">
        <x:fgColor rgb="FFD9E7F5"/>
      </x:patternFill>
    </x:fill>
    <x:fill>
      <x:patternFill patternType="solid">
        <x:fgColor rgb="FFFFFFFF"/>
      </x:patternFill>
    </x:fill>
  </x:fills>
  <x:borders count="13">
    <x:border/>
    <x:border>
      <x:bottom style="thin">
        <x:color rgb="FF1F3B63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bottom style="thin">
        <x:color rgb="FFD9D9D9"/>
      </x:bottom>
    </x:border>
    <x:border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FFFFFF"/>
      </x:right>
      <x:top style="thin">
        <x:color rgb="FFD9D9D9"/>
      </x:top>
      <x:bottom style="thin">
        <x:color rgb="FFFFFFFF"/>
      </x:bottom>
    </x:border>
    <x:border>
      <x:left style="thin">
        <x:color rgb="FFFFFFFF"/>
      </x:left>
      <x:right style="thin">
        <x:color rgb="FFFFFFFF"/>
      </x:right>
      <x:top style="thin">
        <x:color rgb="FFD9D9D9"/>
      </x:top>
      <x:bottom style="thin">
        <x:color rgb="FFFFFFFF"/>
      </x:bottom>
    </x:border>
    <x:border>
      <x:left style="thin">
        <x:color rgb="FFFFFFFF"/>
      </x:left>
      <x:right style="thin">
        <x:color rgb="FFD9D9D9"/>
      </x:right>
      <x:top style="thin">
        <x:color rgb="FFD9D9D9"/>
      </x:top>
      <x:bottom style="thin">
        <x:color rgb="FFFFFFFF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14">
    <x:xf numFmtId="0" fontId="0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2" xfId="0" applyNumberFormat="1" applyFont="1" applyFill="1" applyBorder="1"/>
    <x:xf numFmtId="0" fontId="4" fillId="3" borderId="2" xfId="0" applyNumberFormat="1" applyFont="1" applyFill="1" applyBorder="1" applyAlignment="1">
      <x:alignment wrapText="1"/>
    </x:xf>
    <x:xf numFmtId="0" fontId="4" fillId="3" borderId="2" xfId="0" applyNumberFormat="1" applyFont="1" applyFill="1" applyBorder="1" applyAlignment="1">
      <x:alignment horizontal="center" wrapText="1"/>
    </x:xf>
    <x:xf numFmtId="0" fontId="4" fillId="3" borderId="2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3" xfId="0" applyNumberFormat="1" applyFont="1" applyFill="1" applyBorder="1"/>
    <x:xf numFmtId="0" fontId="5" fillId="0" borderId="4" xfId="0" applyNumberFormat="1" applyFont="1" applyFill="1" applyBorder="1"/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horizontal="center" vertical="top" wrapText="1"/>
    </x:xf>
    <x:xf numFmtId="0" fontId="5" fillId="4" borderId="4" xfId="0" applyNumberFormat="1" applyFont="1" applyFill="1" applyBorder="1" applyAlignment="1">
      <x:alignment vertical="top" wrapText="1"/>
    </x:xf>
    <x:xf numFmtId="0" fontId="6" fillId="4" borderId="4" xfId="0" applyNumberFormat="1" applyFont="1" applyFill="1" applyBorder="1" applyAlignment="1">
      <x:alignment vertical="top" wrapText="1"/>
    </x:xf>
    <x:xf numFmtId="0" fontId="5" fillId="4" borderId="4" xfId="0" applyNumberFormat="1" applyFont="1" applyFill="1" applyBorder="1" applyAlignment="1">
      <x:alignment horizontal="center" vertical="top" wrapText="1"/>
    </x:xf>
    <x:xf numFmtId="0" fontId="6" fillId="0" borderId="4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horizontal="center" vertical="top" wrapText="1"/>
    </x:xf>
    <x:xf numFmtId="200" fontId="5" fillId="0" borderId="3" xfId="0" applyNumberFormat="1" applyFont="1" applyFill="1" applyBorder="1" applyAlignment="1">
      <x:alignment horizontal="center" vertical="top" wrapText="1"/>
    </x:xf>
    <x:xf numFmtId="200" fontId="5" fillId="4" borderId="4" xfId="0" applyNumberFormat="1" applyFont="1" applyFill="1" applyBorder="1" applyAlignment="1">
      <x:alignment horizontal="center" vertical="top" wrapText="1"/>
    </x:xf>
    <x:xf numFmtId="200" fontId="5" fillId="0" borderId="4" xfId="0" applyNumberFormat="1" applyFont="1" applyFill="1" applyBorder="1" applyAlignment="1">
      <x:alignment horizontal="center" vertical="top" wrapText="1"/>
    </x:xf>
    <x:xf numFmtId="0" fontId="4" fillId="3" borderId="5" xfId="0" applyNumberFormat="1" applyFont="1" applyFill="1" applyBorder="1" applyAlignment="1">
      <x:alignment horizontal="center" vertical="center" wrapText="1"/>
    </x:xf>
    <x:xf numFmtId="0" fontId="4" fillId="3" borderId="6" xfId="0" applyNumberFormat="1" applyFont="1" applyFill="1" applyBorder="1" applyAlignment="1">
      <x:alignment horizontal="center" vertical="center" wrapText="1"/>
    </x:xf>
    <x:xf numFmtId="0" fontId="4" fillId="3" borderId="7" xfId="0" applyNumberFormat="1" applyFont="1" applyFill="1" applyBorder="1" applyAlignment="1">
      <x:alignment horizontal="center" vertical="center" wrapText="1"/>
    </x:xf>
    <x:xf numFmtId="0" fontId="6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6" fillId="4" borderId="10" xfId="0" applyNumberFormat="1" applyFont="1" applyFill="1" applyBorder="1" applyAlignment="1">
      <x:alignment vertical="top" wrapText="1"/>
    </x:xf>
    <x:xf numFmtId="0" fontId="5" fillId="4" borderId="11" xfId="0" applyNumberFormat="1" applyFont="1" applyFill="1" applyBorder="1" applyAlignment="1">
      <x:alignment vertical="top" wrapText="1"/>
    </x:xf>
    <x:xf numFmtId="0" fontId="6" fillId="0" borderId="10" xfId="0" applyNumberFormat="1" applyFont="1" applyFill="1" applyBorder="1" applyAlignment="1">
      <x:alignment vertical="top" wrapText="1"/>
    </x:xf>
    <x:xf numFmtId="0" fontId="5" fillId="0" borderId="11" xfId="0" applyNumberFormat="1" applyFont="1" applyFill="1" applyBorder="1" applyAlignment="1">
      <x:alignment vertical="top" wrapText="1"/>
    </x:xf>
    <x:xf numFmtId="0" fontId="7" fillId="0" borderId="1" xfId="0" applyNumberFormat="1" applyFont="1" applyFill="1" applyBorder="1"/>
    <x:xf numFmtId="0" fontId="5" fillId="0" borderId="12" xfId="0" applyNumberFormat="1" applyFont="1" applyFill="1" applyBorder="1"/>
    <x:xf numFmtId="0" fontId="5" fillId="0" borderId="12" xfId="0" applyNumberFormat="1" applyFont="1" applyFill="1" applyBorder="1" applyAlignment="1">
      <x:alignment wrapText="1"/>
    </x:xf>
    <x:xf numFmtId="0" fontId="5" fillId="0" borderId="12" xfId="0" applyNumberFormat="1" applyFont="1" applyFill="1" applyBorder="1" applyAlignment="1">
      <x:alignment vertical="center" wrapText="1"/>
    </x:xf>
    <x:xf numFmtId="0" fontId="5" fillId="5" borderId="12" xfId="0" applyNumberFormat="1" applyFont="1" applyFill="1" applyBorder="1" applyAlignment="1">
      <x:alignment vertical="center" wrapText="1"/>
    </x:xf>
    <x:xf numFmtId="0" fontId="8" fillId="5" borderId="12" xfId="0" applyNumberFormat="1" applyFont="1" applyFill="1" applyBorder="1" applyAlignment="1">
      <x:alignment vertical="center" wrapText="1"/>
    </x:xf>
    <x:xf numFmtId="0" fontId="5" fillId="6" borderId="12" xfId="0" applyNumberFormat="1" applyFont="1" applyFill="1" applyBorder="1" applyAlignment="1">
      <x:alignment vertical="center" wrapText="1"/>
    </x:xf>
    <x:xf numFmtId="0" fontId="9" fillId="6" borderId="12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0" fillId="3" borderId="0" xfId="0" applyNumberFormat="1" applyFont="1" applyFill="1" applyBorder="1"/>
    <x:xf numFmtId="0" fontId="10" fillId="3" borderId="0" xfId="0" applyNumberFormat="1" applyFont="1" applyFill="1" applyBorder="1"/>
    <x:xf numFmtId="201" fontId="10" fillId="3" borderId="0" xfId="0" applyNumberFormat="1" applyFont="1" applyFill="1" applyBorder="1"/>
    <x:xf numFmtId="0" fontId="10" fillId="3" borderId="2" xfId="0" applyNumberFormat="1" applyFont="1" applyFill="1" applyBorder="1"/>
    <x:xf numFmtId="201" fontId="10" fillId="3" borderId="2" xfId="0" applyNumberFormat="1" applyFont="1" applyFill="1" applyBorder="1"/>
    <x:xf numFmtId="0" fontId="10" fillId="3" borderId="2" xfId="0" applyNumberFormat="1" applyFont="1" applyFill="1" applyBorder="1" applyAlignment="1">
      <x:alignment horizontal="center"/>
    </x:xf>
    <x:xf numFmtId="201" fontId="10" fillId="3" borderId="2" xfId="0" applyNumberFormat="1" applyFont="1" applyFill="1" applyBorder="1" applyAlignment="1">
      <x:alignment horizontal="center"/>
    </x:xf>
    <x:xf numFmtId="0" fontId="10" fillId="3" borderId="2" xfId="0" applyNumberFormat="1" applyFont="1" applyFill="1" applyBorder="1" applyAlignment="1">
      <x:alignment horizontal="center" vertical="center"/>
    </x:xf>
    <x:xf numFmtId="201" fontId="10" fillId="3" borderId="2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0" fontId="0" fillId="10" borderId="0" xfId="0" applyNumberFormat="1" applyFont="1" applyFill="1" applyBorder="1"/>
    <x:xf numFmtId="202" fontId="0" fillId="10" borderId="0" xfId="0" applyNumberFormat="1" applyFont="1" applyFill="1" applyBorder="1"/>
    <x:xf numFmtId="0" fontId="11" fillId="10" borderId="0" xfId="0" applyNumberFormat="1" applyFont="1" applyFill="1" applyBorder="1"/>
    <x:xf numFmtId="202" fontId="11" fillId="10" borderId="0" xfId="0" applyNumberFormat="1" applyFont="1" applyFill="1" applyBorder="1"/>
    <x:xf numFmtId="0" fontId="11" fillId="10" borderId="3" xfId="0" applyNumberFormat="1" applyFont="1" applyFill="1" applyBorder="1"/>
    <x:xf numFmtId="202" fontId="11" fillId="10" borderId="3" xfId="0" applyNumberFormat="1" applyFont="1" applyFill="1" applyBorder="1"/>
    <x:xf numFmtId="0" fontId="11" fillId="10" borderId="3" xfId="0" applyNumberFormat="1" applyFont="1" applyFill="1" applyBorder="1" applyAlignment="1">
      <x:alignment horizontal="center"/>
    </x:xf>
    <x:xf numFmtId="202" fontId="11" fillId="10" borderId="3" xfId="0" applyNumberFormat="1" applyFont="1" applyFill="1" applyBorder="1" applyAlignment="1">
      <x:alignment horizontal="center"/>
    </x:xf>
    <x:xf numFmtId="0" fontId="11" fillId="10" borderId="3" xfId="0" applyNumberFormat="1" applyFont="1" applyFill="1" applyBorder="1" applyAlignment="1">
      <x:alignment horizontal="center" vertical="center"/>
    </x:xf>
    <x:xf numFmtId="202" fontId="11" fillId="10" borderId="3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5" fillId="0" borderId="3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8" fillId="5" borderId="0" xfId="0" applyNumberFormat="1" applyFont="1" applyFill="1" applyBorder="1" applyAlignment="1">
      <x:alignment vertical="center" wrapText="1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6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9" fillId="6" borderId="0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 applyAlignment="1">
      <x:alignment horizontal="center" vertical="center" wrapText="1"/>
    </x:xf>
    <x:xf numFmtId="0" fontId="6" fillId="5" borderId="3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8" fillId="5" borderId="3" xfId="0" applyNumberFormat="1" applyFont="1" applyFill="1" applyBorder="1" applyAlignment="1">
      <x:alignment vertical="center" wrapText="1"/>
    </x:xf>
    <x:xf numFmtId="0" fontId="8" fillId="5" borderId="3" xfId="0" applyNumberFormat="1" applyFont="1" applyFill="1" applyBorder="1" applyAlignment="1">
      <x:alignment horizontal="center" vertical="center" wrapText="1"/>
    </x:xf>
    <x:xf numFmtId="201" fontId="10" fillId="5" borderId="2" xfId="0" applyNumberFormat="1" applyFont="1" applyFill="1" applyBorder="1" applyAlignment="1">
      <x:alignment horizontal="center" vertical="center"/>
    </x:xf>
    <x:xf numFmtId="202" fontId="11" fillId="5" borderId="3" xfId="0" applyNumberFormat="1" applyFont="1" applyFill="1" applyBorder="1" applyAlignment="1">
      <x:alignment horizontal="center" vertical="center"/>
    </x:xf>
    <x:xf numFmtId="201" fontId="12" fillId="5" borderId="2" xfId="0" applyNumberFormat="1" applyFont="1" applyFill="1" applyBorder="1" applyAlignment="1">
      <x:alignment horizontal="center" vertical="center"/>
    </x:xf>
    <x:xf numFmtId="202" fontId="12" fillId="5" borderId="3" xfId="0" applyNumberFormat="1" applyFont="1" applyFill="1" applyBorder="1" applyAlignment="1">
      <x:alignment horizontal="center" vertical="center"/>
    </x:xf>
    <x:xf numFmtId="201" fontId="10" fillId="6" borderId="2" xfId="0" applyNumberFormat="1" applyFont="1" applyFill="1" applyBorder="1" applyAlignment="1">
      <x:alignment horizontal="center" vertical="center"/>
    </x:xf>
    <x:xf numFmtId="202" fontId="11" fillId="6" borderId="3" xfId="0" applyNumberFormat="1" applyFont="1" applyFill="1" applyBorder="1" applyAlignment="1">
      <x:alignment horizontal="center" vertical="center"/>
    </x:xf>
    <x:xf numFmtId="201" fontId="13" fillId="6" borderId="2" xfId="0" applyNumberFormat="1" applyFont="1" applyFill="1" applyBorder="1" applyAlignment="1">
      <x:alignment horizontal="center" vertical="center"/>
    </x:xf>
    <x:xf numFmtId="202" fontId="13" fillId="6" borderId="3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5" fillId="11" borderId="0" xfId="0" applyNumberFormat="1" applyFont="1" applyFill="1" applyBorder="1"/>
    <x:xf numFmtId="0" fontId="5" fillId="11" borderId="12" xfId="0" applyNumberFormat="1" applyFont="1" applyFill="1" applyBorder="1"/>
  </x:cellXfs>
  <x:cellStyles count="1">
    <x:cellStyle name="Normal" xfId="0"/>
  </x:cellStyles>
  <x:dxfs count="3">
    <x:dxf>
      <x:font>
        <x:b/>
        <x:color rgb="FFFFFFFF"/>
      </x:font>
      <x:fill>
        <x:patternFill>
          <x:bgColor rgb="FF4472C4"/>
        </x:patternFill>
      </x:fill>
    </x:dxf>
    <x:dxf>
      <x:font>
        <x:b/>
        <x:color rgb="FFFFFFFF"/>
      </x:font>
      <x:fill>
        <x:patternFill>
          <x:bgColor rgb="FFD9A300"/>
        </x:patternFill>
      </x:fill>
    </x:dxf>
    <x:dxf>
      <x:font>
        <x:b/>
        <x:color rgb="FFFFFFFF"/>
      </x:font>
      <x:fill>
        <x:patternFill>
          <x:bgColor rgb="FF54823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05f5a7cee84271" /><Relationship Type="http://schemas.openxmlformats.org/officeDocument/2006/relationships/theme" Target="/xl/theme/theme1.xml" Id="Rcca797fd3f9b4ca6" /><Relationship Type="http://schemas.openxmlformats.org/officeDocument/2006/relationships/sharedStrings" Target="/xl/sharedStrings.xml" Id="Re3efc03073be4a1b" /><Relationship Type="http://schemas.openxmlformats.org/officeDocument/2006/relationships/worksheet" Target="/xl/worksheets/sheet1.xml" Id="R4ad1f89d66064ec5" /><Relationship Type="http://schemas.openxmlformats.org/officeDocument/2006/relationships/worksheet" Target="/xl/worksheets/sheet2.xml" Id="R07401cd6f8f14c8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3B63"/>
  </x:sheetPr>
  <x:sheetViews>
    <x:sheetView showGridLines="0" workbookViewId="0"/>
  </x:sheetViews>
  <x:sheetFormatPr defaultRowHeight="15"/>
  <x:cols>
    <x:col min="1" max="1" width="10" hidden="0" customWidth="1"/>
    <x:col min="2" max="2" width="24" hidden="0" customWidth="1"/>
    <x:col min="3" max="3" width="30" hidden="0" customWidth="1"/>
    <x:col min="4" max="4" width="32" hidden="0" customWidth="1"/>
    <x:col min="5" max="5" width="54" hidden="0" customWidth="1"/>
    <x:col min="6" max="6" width="34" hidden="0" customWidth="1"/>
    <x:col min="7" max="7" width="8" hidden="0" customWidth="1"/>
    <x:col min="8" max="8" width="8" hidden="0" customWidth="1"/>
    <x:col min="9" max="9" width="10" hidden="0" customWidth="1"/>
    <x:col min="10" max="10" width="20" hidden="0" customWidth="1"/>
    <x:col min="11" max="11" width="38" hidden="0" customWidth="1"/>
    <x:col min="12" max="12" width="40" hidden="0" customWidth="1"/>
  </x:cols>
  <x:sheetData>
    <x:row r="1">
      <x:c r="A1" s="2" t="str">
        <x:v>Plan de trabajo ACE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3" t="str">
        <x:v>22 actividades para las 18 semanas de Capstone PTY4614</x:v>
      </x:c>
    </x:row>
    <x:row r="3" ht="34" customHeight="1">
      <x:c r="A3" s="7" t="str">
        <x:v>Fuentes internas: Informe de Definición Fase 1, R-016 y calendario académico 2026. Ajustes acordados: decisión local en S6, prueba temprana de NUC en S8 y cierre técnico desde S14.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</x:row>
    <x:row r="6" ht="32" customHeight="1">
      <x:c r="A6" s="31" t="str">
        <x:v>Código</x:v>
      </x:c>
      <x:c r="B6" s="32" t="str">
        <x:v>Etapa</x:v>
      </x:c>
      <x:c r="C6" s="32" t="str">
        <x:v>Competencia</x:v>
      </x:c>
      <x:c r="D6" s="32" t="str">
        <x:v>Actividad</x:v>
      </x:c>
      <x:c r="E6" s="32" t="str">
        <x:v>Descripción</x:v>
      </x:c>
      <x:c r="F6" s="32" t="str">
        <x:v>Recursos</x:v>
      </x:c>
      <x:c r="G6" s="32" t="str">
        <x:v>Inicio</x:v>
      </x:c>
      <x:c r="H6" s="32" t="str">
        <x:v>Fin</x:v>
      </x:c>
      <x:c r="I6" s="32" t="str">
        <x:v>Duración</x:v>
      </x:c>
      <x:c r="J6" s="32" t="str">
        <x:v>Responsable</x:v>
      </x:c>
      <x:c r="K6" s="32" t="str">
        <x:v>Obstaculizador</x:v>
      </x:c>
      <x:c r="L6" s="33" t="str">
        <x:v>Entregable</x:v>
      </x:c>
    </x:row>
    <x:row r="7" ht="45" customHeight="1">
      <x:c r="A7" s="34" t="str">
        <x:v>1.1</x:v>
      </x:c>
      <x:c r="B7" s="19" t="str">
        <x:v>Definición</x:v>
      </x:c>
      <x:c r="C7" s="19" t="str">
        <x:v>C3. Ingeniería de software y requerimientos</x:v>
      </x:c>
      <x:c r="D7" s="19" t="str">
        <x:v>Levantamiento de requerimientos</x:v>
      </x:c>
      <x:c r="E7" s="19" t="str">
        <x:v>Reuniones con Lumina Motion para relevar necesidades operativas, de contenido y conectividad.</x:v>
      </x:c>
      <x:c r="F7" s="19" t="str">
        <x:v>Canal de comunicación y minutas</x:v>
      </x:c>
      <x:c r="G7" s="28" t="n">
        <x:v>1</x:v>
      </x:c>
      <x:c r="H7" s="28" t="n">
        <x:v>2</x:v>
      </x:c>
      <x:c r="I7" s="28" t="n">
        <x:f>H7-G7+1</x:f>
        <x:v>2</x:v>
      </x:c>
      <x:c r="J7" s="19" t="str">
        <x:v>Matías Salas</x:v>
      </x:c>
      <x:c r="K7" s="19" t="str">
        <x:v>Disponibilidad de agenda con la contraparte</x:v>
      </x:c>
      <x:c r="L7" s="35" t="str">
        <x:v>Requerimientos funcionales y no funcionales base</x:v>
      </x:c>
    </x:row>
    <x:row r="8" ht="45" customHeight="1">
      <x:c r="A8" s="36" t="str">
        <x:v>1.2</x:v>
      </x:c>
      <x:c r="B8" s="23" t="str">
        <x:v>Definición</x:v>
      </x:c>
      <x:c r="C8" s="23" t="str">
        <x:v>C3. Ingeniería de software y requerimientos</x:v>
      </x:c>
      <x:c r="D8" s="23" t="str">
        <x:v>Alcance y factibilidad</x:v>
      </x:c>
      <x:c r="E8" s="23" t="str">
        <x:v>Delimitación del MVP, objetivos y factibilidad técnica, temporal y operativa.</x:v>
      </x:c>
      <x:c r="F8" s="23" t="str">
        <x:v>Documentación técnica y repositorio</x:v>
      </x:c>
      <x:c r="G8" s="29" t="n">
        <x:v>2</x:v>
      </x:c>
      <x:c r="H8" s="29" t="n">
        <x:v>3</x:v>
      </x:c>
      <x:c r="I8" s="29" t="n">
        <x:f>H8-G8+1</x:f>
        <x:v>2</x:v>
      </x:c>
      <x:c r="J8" s="23" t="str">
        <x:v>Tomás / Matías</x:v>
      </x:c>
      <x:c r="K8" s="23" t="str">
        <x:v>Alineación de expectativas entre cliente y equipo</x:v>
      </x:c>
      <x:c r="L8" s="37" t="str">
        <x:v>Alcance, objetivos y factibilidad acordados</x:v>
      </x:c>
    </x:row>
    <x:row r="9" ht="45" customHeight="1">
      <x:c r="A9" s="38" t="str">
        <x:v>1.3</x:v>
      </x:c>
      <x:c r="B9" s="20" t="str">
        <x:v>Definición</x:v>
      </x:c>
      <x:c r="C9" s="20" t="str">
        <x:v>C1. Soluciones cliente-servidor distribuidas</x:v>
      </x:c>
      <x:c r="D9" s="20" t="str">
        <x:v>Stack y arquitectura</x:v>
      </x:c>
      <x:c r="E9" s="20" t="str">
        <x:v>Definición del monolito modular Laravel, MariaDB, Filament v5, Reverb, WebSockets, IndexedDB y Players NUC.</x:v>
      </x:c>
      <x:c r="F9" s="20" t="str">
        <x:v>Herramientas de diagramado y documentación</x:v>
      </x:c>
      <x:c r="G9" s="30" t="n">
        <x:v>2</x:v>
      </x:c>
      <x:c r="H9" s="30" t="n">
        <x:v>3</x:v>
      </x:c>
      <x:c r="I9" s="30" t="n">
        <x:f>H9-G9+1</x:f>
        <x:v>2</x:v>
      </x:c>
      <x:c r="J9" s="20" t="str">
        <x:v>Tomás / Paulo</x:v>
      </x:c>
      <x:c r="K9" s="20" t="str">
        <x:v>Complejidad de tolerancia a cortes de conectividad</x:v>
      </x:c>
      <x:c r="L9" s="39" t="str">
        <x:v>Arquitectura y stack tecnológico</x:v>
      </x:c>
    </x:row>
    <x:row r="10" ht="45" customHeight="1">
      <x:c r="A10" s="36" t="str">
        <x:v>1.4</x:v>
      </x:c>
      <x:c r="B10" s="23" t="str">
        <x:v>Definición</x:v>
      </x:c>
      <x:c r="C10" s="23" t="str">
        <x:v>C3. Ingeniería de software y requerimientos</x:v>
      </x:c>
      <x:c r="D10" s="23" t="str">
        <x:v>Informe y presentación Fase 1</x:v>
      </x:c>
      <x:c r="E10" s="23" t="str">
        <x:v>Redacción del informe de definición, planificación y preparación de la exposición grupal.</x:v>
      </x:c>
      <x:c r="F10" s="23" t="str">
        <x:v>Plantilla y pauta Duoc</x:v>
      </x:c>
      <x:c r="G10" s="29" t="n">
        <x:v>3</x:v>
      </x:c>
      <x:c r="H10" s="29" t="n">
        <x:v>4</x:v>
      </x:c>
      <x:c r="I10" s="29" t="n">
        <x:f>H10-G10+1</x:f>
        <x:v>2</x:v>
      </x:c>
      <x:c r="J10" s="23" t="str">
        <x:v>Equipo</x:v>
      </x:c>
      <x:c r="K10" s="23" t="str">
        <x:v>Carga de trabajo durante el cierre de Fase 1</x:v>
      </x:c>
      <x:c r="L10" s="37" t="str">
        <x:v>Hito 1: informe y presentación Fase 1</x:v>
      </x:c>
    </x:row>
    <x:row r="11" ht="45" customHeight="1">
      <x:c r="A11" s="38" t="str">
        <x:v>2.1</x:v>
      </x:c>
      <x:c r="B11" s="20" t="str">
        <x:v>Diseño y preparación</x:v>
      </x:c>
      <x:c r="C11" s="20" t="str">
        <x:v>C3. Ingeniería de software y requerimientos</x:v>
      </x:c>
      <x:c r="D11" s="20" t="str">
        <x:v>Ajustes y preparación técnica</x:v>
      </x:c>
      <x:c r="E11" s="20" t="str">
        <x:v>Incorporación de observaciones docentes, configuración de entornos, repositorio y base de pruebas.</x:v>
      </x:c>
      <x:c r="F11" s="20" t="str">
        <x:v>Rúbrica, GitHub y entornos locales</x:v>
      </x:c>
      <x:c r="G11" s="30" t="n">
        <x:v>5</x:v>
      </x:c>
      <x:c r="H11" s="30" t="n">
        <x:v>5</x:v>
      </x:c>
      <x:c r="I11" s="30" t="n">
        <x:f>H11-G11+1</x:f>
        <x:v>1</x:v>
      </x:c>
      <x:c r="J11" s="20" t="str">
        <x:v>Equipo</x:v>
      </x:c>
      <x:c r="K11" s="20" t="str">
        <x:v>Demora en la retroalimentación o configuración</x:v>
      </x:c>
      <x:c r="L11" s="39" t="str">
        <x:v>Backlog refinado y entorno de desarrollo preparado</x:v>
      </x:c>
    </x:row>
    <x:row r="12" ht="45" customHeight="1">
      <x:c r="A12" s="36" t="str">
        <x:v>2.2</x:v>
      </x:c>
      <x:c r="B12" s="23" t="str">
        <x:v>Diseño y preparación</x:v>
      </x:c>
      <x:c r="C12" s="23" t="str">
        <x:v>C2. Bases de datos relacionales y locales</x:v>
      </x:c>
      <x:c r="D12" s="23" t="str">
        <x:v>Modelado de datos</x:v>
      </x:c>
      <x:c r="E12" s="23" t="str">
        <x:v>Normalización y detalle del modelo para locaciones, sectores, pantallas, medios, playlists y programaciones.</x:v>
      </x:c>
      <x:c r="F12" s="23" t="str">
        <x:v>MariaDB y herramienta de modelado</x:v>
      </x:c>
      <x:c r="G12" s="29" t="n">
        <x:v>5</x:v>
      </x:c>
      <x:c r="H12" s="29" t="n">
        <x:v>6</x:v>
      </x:c>
      <x:c r="I12" s="29" t="n">
        <x:f>H12-G12+1</x:f>
        <x:v>2</x:v>
      </x:c>
      <x:c r="J12" s="23" t="str">
        <x:v>Paulo / Tomás</x:v>
      </x:c>
      <x:c r="K12" s="23" t="str">
        <x:v>Reglas de programación aún sujetas a revisión</x:v>
      </x:c>
      <x:c r="L12" s="37" t="str">
        <x:v>Diagrama ER y migraciones base definidas</x:v>
      </x:c>
    </x:row>
    <x:row r="13" ht="45" customHeight="1">
      <x:c r="A13" s="38" t="str">
        <x:v>2.3</x:v>
      </x:c>
      <x:c r="B13" s="20" t="str">
        <x:v>Diseño y preparación</x:v>
      </x:c>
      <x:c r="C13" s="20" t="str">
        <x:v>C1. Soluciones cliente-servidor distribuidas</x:v>
      </x:c>
      <x:c r="D13" s="20" t="str">
        <x:v>Diseño UI/UX Panel Admin</x:v>
      </x:c>
      <x:c r="E13" s="20" t="str">
        <x:v>Wireframes y flujos para administrar locaciones, pantallas, contenido, playlists y programación.</x:v>
      </x:c>
      <x:c r="F13" s="20" t="str">
        <x:v>Figma o herramienta de wireframing</x:v>
      </x:c>
      <x:c r="G13" s="30" t="n">
        <x:v>5</x:v>
      </x:c>
      <x:c r="H13" s="30" t="n">
        <x:v>6</x:v>
      </x:c>
      <x:c r="I13" s="30" t="n">
        <x:f>H13-G13+1</x:f>
        <x:v>2</x:v>
      </x:c>
      <x:c r="J13" s="20" t="str">
        <x:v>Paulo Loyola</x:v>
      </x:c>
      <x:c r="K13" s="20" t="str">
        <x:v>Curva de usabilidad para operadores</x:v>
      </x:c>
      <x:c r="L13" s="39" t="str">
        <x:v>Prototipos y flujos de interfaz</x:v>
      </x:c>
    </x:row>
    <x:row r="14" ht="45" customHeight="1">
      <x:c r="A14" s="36" t="str">
        <x:v>2.4</x:v>
      </x:c>
      <x:c r="B14" s="23" t="str">
        <x:v>Diseño y preparación</x:v>
      </x:c>
      <x:c r="C14" s="23" t="str">
        <x:v>C1. Soluciones cliente-servidor distribuidas</x:v>
      </x:c>
      <x:c r="D14" s="23" t="str">
        <x:v>Contratos API y operación local</x:v>
      </x:c>
      <x:c r="E14" s="23" t="str">
        <x:v>Definición de endpoints, credenciales de NUC, eventos de sincronización y validación del flujo local sin internet.</x:v>
      </x:c>
      <x:c r="F14" s="23" t="str">
        <x:v>OpenAPI, Postman y sesión equipo-cliente</x:v>
      </x:c>
      <x:c r="G14" s="29" t="n">
        <x:v>6</x:v>
      </x:c>
      <x:c r="H14" s="29" t="n">
        <x:v>6</x:v>
      </x:c>
      <x:c r="I14" s="29" t="n">
        <x:f>H14-G14+1</x:f>
        <x:v>1</x:v>
      </x:c>
      <x:c r="J14" s="23" t="str">
        <x:v>Tomás / Matías</x:v>
      </x:c>
      <x:c r="K14" s="23" t="str">
        <x:v>Disponibilidad de Lumina y topología local abierta</x:v>
      </x:c>
      <x:c r="L14" s="37" t="str">
        <x:v>Contratos preliminares y decisión de operación local</x:v>
      </x:c>
    </x:row>
    <x:row r="15" ht="45" customHeight="1">
      <x:c r="A15" s="38" t="str">
        <x:v>3.1</x:v>
      </x:c>
      <x:c r="B15" s="20" t="str">
        <x:v>Construcción base</x:v>
      </x:c>
      <x:c r="C15" s="20" t="str">
        <x:v>C2. Bases de datos relacionales y locales</x:v>
      </x:c>
      <x:c r="D15" s="20" t="str">
        <x:v>Implementación base de datos</x:v>
      </x:c>
      <x:c r="E15" s="20" t="str">
        <x:v>Construcción de migraciones, modelos y persistencia central en MariaDB.</x:v>
      </x:c>
      <x:c r="F15" s="20" t="str">
        <x:v>Laravel, MariaDB y ORM</x:v>
      </x:c>
      <x:c r="G15" s="30" t="n">
        <x:v>7</x:v>
      </x:c>
      <x:c r="H15" s="30" t="n">
        <x:v>8</x:v>
      </x:c>
      <x:c r="I15" s="30" t="n">
        <x:f>H15-G15+1</x:f>
        <x:v>2</x:v>
      </x:c>
      <x:c r="J15" s="20" t="str">
        <x:v>Paulo / Tomás</x:v>
      </x:c>
      <x:c r="K15" s="20" t="str">
        <x:v>Cambios tardíos del modelo de datos</x:v>
      </x:c>
      <x:c r="L15" s="39" t="str">
        <x:v>Base de datos y migraciones operativas</x:v>
      </x:c>
    </x:row>
    <x:row r="16" ht="45" customHeight="1">
      <x:c r="A16" s="36" t="str">
        <x:v>3.2</x:v>
      </x:c>
      <x:c r="B16" s="23" t="str">
        <x:v>Construcción base</x:v>
      </x:c>
      <x:c r="C16" s="23" t="str">
        <x:v>C1. Soluciones cliente-servidor distribuidas</x:v>
      </x:c>
      <x:c r="D16" s="23" t="str">
        <x:v>Backend Core y API</x:v>
      </x:c>
      <x:c r="E16" s="23" t="str">
        <x:v>Endpoints de medios, locaciones, pantallas, autenticación y permisos por locación.</x:v>
      </x:c>
      <x:c r="F16" s="23" t="str">
        <x:v>Laravel, Sanctum y Git</x:v>
      </x:c>
      <x:c r="G16" s="29" t="n">
        <x:v>7</x:v>
      </x:c>
      <x:c r="H16" s="29" t="n">
        <x:v>9</x:v>
      </x:c>
      <x:c r="I16" s="29" t="n">
        <x:f>H16-G16+1</x:f>
        <x:v>3</x:v>
      </x:c>
      <x:c r="J16" s="23" t="str">
        <x:v>Tomás Escalante</x:v>
      </x:c>
      <x:c r="K16" s="23" t="str">
        <x:v>Seguridad, permisos y cambios de contratos</x:v>
      </x:c>
      <x:c r="L16" s="37" t="str">
        <x:v>API funcional para panel y NUC</x:v>
      </x:c>
    </x:row>
    <x:row r="17" ht="45" customHeight="1">
      <x:c r="A17" s="38" t="str">
        <x:v>3.3</x:v>
      </x:c>
      <x:c r="B17" s="20" t="str">
        <x:v>Construcción base</x:v>
      </x:c>
      <x:c r="C17" s="20" t="str">
        <x:v>C1. Soluciones cliente-servidor distribuidas</x:v>
      </x:c>
      <x:c r="D17" s="20" t="str">
        <x:v>Panel administrativo</x:v>
      </x:c>
      <x:c r="E17" s="20" t="str">
        <x:v>Panel Filament v5 para administrar pantallas, contenido, playlists y programación.</x:v>
      </x:c>
      <x:c r="F17" s="20" t="str">
        <x:v>Filament v5 sobre Laravel</x:v>
      </x:c>
      <x:c r="G17" s="30" t="n">
        <x:v>8</x:v>
      </x:c>
      <x:c r="H17" s="30" t="n">
        <x:v>10</x:v>
      </x:c>
      <x:c r="I17" s="30" t="n">
        <x:f>H17-G17+1</x:f>
        <x:v>3</x:v>
      </x:c>
      <x:c r="J17" s="20" t="str">
        <x:v>Paulo Loyola</x:v>
      </x:c>
      <x:c r="K17" s="20" t="str">
        <x:v>Manejo de estados visuales y calendarios</x:v>
      </x:c>
      <x:c r="L17" s="39" t="str">
        <x:v>Panel administrativo operativo</x:v>
      </x:c>
    </x:row>
    <x:row r="18" ht="45" customHeight="1">
      <x:c r="A18" s="36" t="str">
        <x:v>3.4</x:v>
      </x:c>
      <x:c r="B18" s="23" t="str">
        <x:v>Construcción base</x:v>
      </x:c>
      <x:c r="C18" s="23" t="str">
        <x:v>C1. Soluciones cliente-servidor distribuidas</x:v>
      </x:c>
      <x:c r="D18" s="23" t="str">
        <x:v>Player multimedia base</x:v>
      </x:c>
      <x:c r="E18" s="23" t="str">
        <x:v>Player local con reproducción de medios y checkpoint temprano de NUC, códecs e IndexedDB durante S8.</x:v>
      </x:c>
      <x:c r="F18" s="23" t="str">
        <x:v>NUC, pantalla, medios e IndexedDB</x:v>
      </x:c>
      <x:c r="G18" s="29" t="n">
        <x:v>8</x:v>
      </x:c>
      <x:c r="H18" s="29" t="n">
        <x:v>10</x:v>
      </x:c>
      <x:c r="I18" s="29" t="n">
        <x:f>H18-G18+1</x:f>
        <x:v>3</x:v>
      </x:c>
      <x:c r="J18" s="23" t="str">
        <x:v>Matías / Tomás</x:v>
      </x:c>
      <x:c r="K18" s="23" t="str">
        <x:v>Compatibilidad de códecs, navegador y cuota local</x:v>
      </x:c>
      <x:c r="L18" s="37" t="str">
        <x:v>Player base y compatibilidad de hardware validada</x:v>
      </x:c>
    </x:row>
    <x:row r="19" ht="45" customHeight="1">
      <x:c r="A19" s="38" t="str">
        <x:v>3.5</x:v>
      </x:c>
      <x:c r="B19" s="20" t="str">
        <x:v>Construcción base</x:v>
      </x:c>
      <x:c r="C19" s="20" t="str">
        <x:v>C3. Ingeniería de software y requerimientos</x:v>
      </x:c>
      <x:c r="D19" s="20" t="str">
        <x:v>Integración y validación de avance</x:v>
      </x:c>
      <x:c r="E19" s="20" t="str">
        <x:v>Pruebas de integración entre panel, API y Player; demostración de avance con Lumina Motion.</x:v>
      </x:c>
      <x:c r="F19" s="20" t="str">
        <x:v>Entorno de pruebas, API y Player</x:v>
      </x:c>
      <x:c r="G19" s="30" t="n">
        <x:v>9</x:v>
      </x:c>
      <x:c r="H19" s="30" t="n">
        <x:v>10</x:v>
      </x:c>
      <x:c r="I19" s="30" t="n">
        <x:f>H19-G19+1</x:f>
        <x:v>2</x:v>
      </x:c>
      <x:c r="J19" s="20" t="str">
        <x:v>Matías / Equipo</x:v>
      </x:c>
      <x:c r="K19" s="20" t="str">
        <x:v>Disponibilidad de pantallas y contraparte</x:v>
      </x:c>
      <x:c r="L19" s="39" t="str">
        <x:v>Hito 2: avance funcional demostrado</x:v>
      </x:c>
    </x:row>
    <x:row r="20" ht="45" customHeight="1">
      <x:c r="A20" s="36" t="str">
        <x:v>3.6</x:v>
      </x:c>
      <x:c r="B20" s="23" t="str">
        <x:v>Construcción base</x:v>
      </x:c>
      <x:c r="C20" s="23" t="str">
        <x:v>C3. Ingeniería de software y requerimientos</x:v>
      </x:c>
      <x:c r="D20" s="23" t="str">
        <x:v>Revisión de feedback intermedio</x:v>
      </x:c>
      <x:c r="E20" s="23" t="str">
        <x:v>Incorporación del feedback del Hito 2 y priorización del trabajo restante.</x:v>
      </x:c>
      <x:c r="F20" s="23" t="str">
        <x:v>Rúbrica, backlog y reportes</x:v>
      </x:c>
      <x:c r="G20" s="29" t="n">
        <x:v>11</x:v>
      </x:c>
      <x:c r="H20" s="29" t="n">
        <x:v>11</x:v>
      </x:c>
      <x:c r="I20" s="29" t="n">
        <x:f>H20-G20+1</x:f>
        <x:v>1</x:v>
      </x:c>
      <x:c r="J20" s="23" t="str">
        <x:v>Equipo</x:v>
      </x:c>
      <x:c r="K20" s="23" t="str">
        <x:v>Desviaciones de esfuerzo detectadas tarde</x:v>
      </x:c>
      <x:c r="L20" s="37" t="str">
        <x:v>Plan de cierre ajustado</x:v>
      </x:c>
    </x:row>
    <x:row r="21" ht="45" customHeight="1">
      <x:c r="A21" s="38" t="str">
        <x:v>4.1</x:v>
      </x:c>
      <x:c r="B21" s="20" t="str">
        <x:v>Resiliencia e integración</x:v>
      </x:c>
      <x:c r="C21" s="20" t="str">
        <x:v>C1. Soluciones cliente-servidor distribuidas</x:v>
      </x:c>
      <x:c r="D21" s="20" t="str">
        <x:v>Programación horaria avanzada</x:v>
      </x:c>
      <x:c r="E21" s="20" t="str">
        <x:v>Programación por fechas, horarios, recurrencia semanal, sectores o pantallas, sin solapamientos efectivos.</x:v>
      </x:c>
      <x:c r="F21" s="20" t="str">
        <x:v>Laravel y motor de programación</x:v>
      </x:c>
      <x:c r="G21" s="30" t="n">
        <x:v>12</x:v>
      </x:c>
      <x:c r="H21" s="30" t="n">
        <x:v>13</x:v>
      </x:c>
      <x:c r="I21" s="30" t="n">
        <x:f>H21-G21+1</x:f>
        <x:v>2</x:v>
      </x:c>
      <x:c r="J21" s="20" t="str">
        <x:v>Paulo / Tomás</x:v>
      </x:c>
      <x:c r="K21" s="20" t="str">
        <x:v>Intersecciones entre destinos y franjas horarias</x:v>
      </x:c>
      <x:c r="L21" s="39" t="str">
        <x:v>Motor de programación validado</x:v>
      </x:c>
    </x:row>
    <x:row r="22" ht="45" customHeight="1">
      <x:c r="A22" s="36" t="str">
        <x:v>4.2</x:v>
      </x:c>
      <x:c r="B22" s="23" t="str">
        <x:v>Resiliencia e integración</x:v>
      </x:c>
      <x:c r="C22" s="23" t="str">
        <x:v>C1 / C2. Persistencia y resiliencia offline</x:v>
      </x:c>
      <x:c r="D22" s="23" t="str">
        <x:v>Resiliencia offline y caché local</x:v>
      </x:c>
      <x:c r="E22" s="23" t="str">
        <x:v>Descarga anticipada y caché IndexedDB para continuar con los recursos programados localmente.</x:v>
      </x:c>
      <x:c r="F22" s="23" t="str">
        <x:v>IndexedDB, archivos locales y Player</x:v>
      </x:c>
      <x:c r="G22" s="29" t="n">
        <x:v>12</x:v>
      </x:c>
      <x:c r="H22" s="29" t="n">
        <x:v>14</x:v>
      </x:c>
      <x:c r="I22" s="29" t="n">
        <x:f>H22-G22+1</x:f>
        <x:v>3</x:v>
      </x:c>
      <x:c r="J22" s="23" t="str">
        <x:v>Tomás / Matías</x:v>
      </x:c>
      <x:c r="K22" s="23" t="str">
        <x:v>Pérdida de enlace durante sincronización</x:v>
      </x:c>
      <x:c r="L22" s="37" t="str">
        <x:v>Player autónomo frente a cortes de internet</x:v>
      </x:c>
    </x:row>
    <x:row r="23" ht="45" customHeight="1">
      <x:c r="A23" s="38" t="str">
        <x:v>4.3</x:v>
      </x:c>
      <x:c r="B23" s="20" t="str">
        <x:v>Resiliencia e integración</x:v>
      </x:c>
      <x:c r="C23" s="20" t="str">
        <x:v>C1. Soluciones cliente-servidor distribuidas</x:v>
      </x:c>
      <x:c r="D23" s="20" t="str">
        <x:v>Sincronización y telemetría</x:v>
      </x:c>
      <x:c r="E23" s="20" t="str">
        <x:v>Comunicación por Reverb y WebSockets; reporte de conectividad, última comunicación y estado de sincronización.</x:v>
      </x:c>
      <x:c r="F23" s="20" t="str">
        <x:v>Laravel Reverb y WebSockets</x:v>
      </x:c>
      <x:c r="G23" s="30" t="n">
        <x:v>13</x:v>
      </x:c>
      <x:c r="H23" s="30" t="n">
        <x:v>14</x:v>
      </x:c>
      <x:c r="I23" s="30" t="n">
        <x:f>H23-G23+1</x:f>
        <x:v>2</x:v>
      </x:c>
      <x:c r="J23" s="20" t="str">
        <x:v>Tomás / Paulo</x:v>
      </x:c>
      <x:c r="K23" s="20" t="str">
        <x:v>Firewall, NAT o conectividad de los NUC</x:v>
      </x:c>
      <x:c r="L23" s="39" t="str">
        <x:v>Sincronización y telemetría básica</x:v>
      </x:c>
    </x:row>
    <x:row r="24" ht="45" customHeight="1">
      <x:c r="A24" s="36" t="str">
        <x:v>4.4</x:v>
      </x:c>
      <x:c r="B24" s="23" t="str">
        <x:v>Resiliencia e integración</x:v>
      </x:c>
      <x:c r="C24" s="23" t="str">
        <x:v>C3. Ingeniería de software y requerimientos</x:v>
      </x:c>
      <x:c r="D24" s="23" t="str">
        <x:v>Pruebas de tolerancia a fallos</x:v>
      </x:c>
      <x:c r="E24" s="23" t="str">
        <x:v>Simulación de cortes de red, recuperación de estado y operación con recursos locales.</x:v>
      </x:c>
      <x:c r="F24" s="23" t="str">
        <x:v>NUC, red controlada y casos de prueba</x:v>
      </x:c>
      <x:c r="G24" s="29" t="n">
        <x:v>14</x:v>
      </x:c>
      <x:c r="H24" s="29" t="n">
        <x:v>14</x:v>
      </x:c>
      <x:c r="I24" s="29" t="n">
        <x:f>H24-G24+1</x:f>
        <x:v>1</x:v>
      </x:c>
      <x:c r="J24" s="23" t="str">
        <x:v>Matías / Equipo</x:v>
      </x:c>
      <x:c r="K24" s="23" t="str">
        <x:v>Entorno de pruebas poco representativo</x:v>
      </x:c>
      <x:c r="L24" s="37" t="str">
        <x:v>Informe de pruebas de resiliencia</x:v>
      </x:c>
    </x:row>
    <x:row r="25" ht="45" customHeight="1">
      <x:c r="A25" s="38" t="str">
        <x:v>5.1</x:v>
      </x:c>
      <x:c r="B25" s="20" t="str">
        <x:v>Despliegue y cierre</x:v>
      </x:c>
      <x:c r="C25" s="20" t="str">
        <x:v>C1. Soluciones cliente-servidor distribuidas</x:v>
      </x:c>
      <x:c r="D25" s="20" t="str">
        <x:v>Staging y hardware real</x:v>
      </x:c>
      <x:c r="E25" s="20" t="str">
        <x:v>Despliegue progresivo en staging y validación con NUC y pantalla real antes del cierre.</x:v>
      </x:c>
      <x:c r="F25" s="20" t="str">
        <x:v>Hosting o staging, NUC y pantalla</x:v>
      </x:c>
      <x:c r="G25" s="30" t="n">
        <x:v>14</x:v>
      </x:c>
      <x:c r="H25" s="30" t="n">
        <x:v>15</x:v>
      </x:c>
      <x:c r="I25" s="30" t="n">
        <x:f>H25-G25+1</x:f>
        <x:v>2</x:v>
      </x:c>
      <x:c r="J25" s="20" t="str">
        <x:v>Matías / Tomás</x:v>
      </x:c>
      <x:c r="K25" s="20" t="str">
        <x:v>Acceso tardío a hardware o locación</x:v>
      </x:c>
      <x:c r="L25" s="39" t="str">
        <x:v>Staging y hardware validados</x:v>
      </x:c>
    </x:row>
    <x:row r="26" ht="45" customHeight="1">
      <x:c r="A26" s="36" t="str">
        <x:v>5.2</x:v>
      </x:c>
      <x:c r="B26" s="23" t="str">
        <x:v>Despliegue y cierre</x:v>
      </x:c>
      <x:c r="C26" s="23" t="str">
        <x:v>C3. Ingeniería de software y requerimientos</x:v>
      </x:c>
      <x:c r="D26" s="23" t="str">
        <x:v>Informe final y manuales</x:v>
      </x:c>
      <x:c r="E26" s="23" t="str">
        <x:v>Consolidación del informe, manual técnico, manual de usuario y evidencias desde S14.</x:v>
      </x:c>
      <x:c r="F26" s="23" t="str">
        <x:v>Plantilla Duoc, repositorio y evidencias</x:v>
      </x:c>
      <x:c r="G26" s="29" t="n">
        <x:v>14</x:v>
      </x:c>
      <x:c r="H26" s="29" t="n">
        <x:v>15</x:v>
      </x:c>
      <x:c r="I26" s="29" t="n">
        <x:f>H26-G26+1</x:f>
        <x:v>2</x:v>
      </x:c>
      <x:c r="J26" s="23" t="str">
        <x:v>Paulo / Equipo</x:v>
      </x:c>
      <x:c r="K26" s="23" t="str">
        <x:v>Carga simultánea de documentación y cierre técnico</x:v>
      </x:c>
      <x:c r="L26" s="37" t="str">
        <x:v>Hito 3: entrega final consolidada</x:v>
      </x:c>
    </x:row>
    <x:row r="27" ht="45" customHeight="1">
      <x:c r="A27" s="38" t="str">
        <x:v>6.1</x:v>
      </x:c>
      <x:c r="B27" s="20" t="str">
        <x:v>Validación y defensa</x:v>
      </x:c>
      <x:c r="C27" s="20" t="str">
        <x:v>C3. Ingeniería de software y requerimientos</x:v>
      </x:c>
      <x:c r="D27" s="20" t="str">
        <x:v>Validación Lumina y ajustes</x:v>
      </x:c>
      <x:c r="E27" s="20" t="str">
        <x:v>Pruebas de aceptación con Lumina Motion, estabilización y correcciones finales.</x:v>
      </x:c>
      <x:c r="F27" s="20" t="str">
        <x:v>Entorno de validación y casos de aceptación</x:v>
      </x:c>
      <x:c r="G27" s="30" t="n">
        <x:v>16</x:v>
      </x:c>
      <x:c r="H27" s="30" t="n">
        <x:v>18</x:v>
      </x:c>
      <x:c r="I27" s="30" t="n">
        <x:f>H27-G27+1</x:f>
        <x:v>3</x:v>
      </x:c>
      <x:c r="J27" s="20" t="str">
        <x:v>Matías / Equipo</x:v>
      </x:c>
      <x:c r="K27" s="20" t="str">
        <x:v>Coordinación con la contraparte</x:v>
      </x:c>
      <x:c r="L27" s="39" t="str">
        <x:v>Validación de aceptación y ajustes finales</x:v>
      </x:c>
    </x:row>
    <x:row r="28" ht="45" customHeight="1">
      <x:c r="A28" s="36" t="str">
        <x:v>6.2</x:v>
      </x:c>
      <x:c r="B28" s="23" t="str">
        <x:v>Validación y defensa</x:v>
      </x:c>
      <x:c r="C28" s="23" t="str">
        <x:v>C3. Ingeniería de software y requerimientos</x:v>
      </x:c>
      <x:c r="D28" s="23" t="str">
        <x:v>Preparación examen y demo</x:v>
      </x:c>
      <x:c r="E28" s="23" t="str">
        <x:v>Ensayos de defensa, preparación de demo en vivo, guion y material de apoyo.</x:v>
      </x:c>
      <x:c r="F28" s="23" t="str">
        <x:v>Diapositivas, demo y guion</x:v>
      </x:c>
      <x:c r="G28" s="29" t="n">
        <x:v>16</x:v>
      </x:c>
      <x:c r="H28" s="29" t="n">
        <x:v>18</x:v>
      </x:c>
      <x:c r="I28" s="29" t="n">
        <x:f>H28-G28+1</x:f>
        <x:v>3</x:v>
      </x:c>
      <x:c r="J28" s="23" t="str">
        <x:v>Paulo / Matías</x:v>
      </x:c>
      <x:c r="K28" s="23" t="str">
        <x:v>Estabilidad de la demo y dominio del proyecto</x:v>
      </x:c>
      <x:c r="L28" s="37" t="str">
        <x:v>Hito 4: examen y presentación final</x:v>
      </x:c>
    </x:row>
    <x:row r="31">
      <x:c r="A31" s="40" t="str">
        <x:v>Hitos y checkpoints</x:v>
      </x:c>
      <x:c r="B31" s="1"/>
      <x:c r="C31" s="1"/>
      <x:c r="D31" s="1"/>
      <x:c r="E31" s="1"/>
      <x:c r="F31" s="1"/>
    </x:row>
    <x:row r="33">
      <x:c r="A33" s="13" t="str">
        <x:v>Código</x:v>
      </x:c>
      <x:c r="B33" s="13" t="str">
        <x:v>Tipo</x:v>
      </x:c>
      <x:c r="C33" s="13" t="str">
        <x:v>Evento</x:v>
      </x:c>
      <x:c r="D33" s="13" t="str">
        <x:v>Semanas</x:v>
      </x:c>
      <x:c r="E33" s="13" t="str">
        <x:v>Fechas</x:v>
      </x:c>
      <x:c r="F33" s="13" t="str">
        <x:v>Propósito</x:v>
      </x:c>
    </x:row>
    <x:row r="34" ht="34" customHeight="1">
      <x:c r="A34" s="45" t="str">
        <x:v>H1</x:v>
      </x:c>
      <x:c r="B34" s="45" t="str">
        <x:v>Hito</x:v>
      </x:c>
      <x:c r="C34" s="44" t="str">
        <x:v>Presentación grupal Fase 1</x:v>
      </x:c>
      <x:c r="D34" s="44" t="str">
        <x:v>S4</x:v>
      </x:c>
      <x:c r="E34" s="44" t="str">
        <x:v>31-ago – 05-sept</x:v>
      </x:c>
      <x:c r="F34" s="44" t="str">
        <x:v>Entrega académica de definición y planificación</x:v>
      </x:c>
    </x:row>
    <x:row r="35" ht="34" customHeight="1">
      <x:c r="A35" s="47" t="str">
        <x:v>C1</x:v>
      </x:c>
      <x:c r="B35" s="47" t="str">
        <x:v>Checkpoint</x:v>
      </x:c>
      <x:c r="C35" s="46" t="str">
        <x:v>Decisión de operación local</x:v>
      </x:c>
      <x:c r="D35" s="46" t="str">
        <x:v>S6</x:v>
      </x:c>
      <x:c r="E35" s="46" t="str">
        <x:v>14-sept – 19-sept</x:v>
      </x:c>
      <x:c r="F35" s="46" t="str">
        <x:v>Validar panel por NUC o PC conectado por LAN</x:v>
      </x:c>
    </x:row>
    <x:row r="36" ht="34" customHeight="1">
      <x:c r="A36" s="47" t="str">
        <x:v>C2</x:v>
      </x:c>
      <x:c r="B36" s="47" t="str">
        <x:v>Checkpoint</x:v>
      </x:c>
      <x:c r="C36" s="46" t="str">
        <x:v>Compatibilidad NUC, Player y caché</x:v>
      </x:c>
      <x:c r="D36" s="46" t="str">
        <x:v>S8</x:v>
      </x:c>
      <x:c r="E36" s="46" t="str">
        <x:v>28-sept – 03-oct</x:v>
      </x:c>
      <x:c r="F36" s="46" t="str">
        <x:v>Probar códecs, IndexedDB y reproducción en hardware real</x:v>
      </x:c>
    </x:row>
    <x:row r="37" ht="34" customHeight="1">
      <x:c r="A37" s="45" t="str">
        <x:v>H2</x:v>
      </x:c>
      <x:c r="B37" s="45" t="str">
        <x:v>Hito</x:v>
      </x:c>
      <x:c r="C37" s="44" t="str">
        <x:v>Entrega de avance funcional</x:v>
      </x:c>
      <x:c r="D37" s="44" t="str">
        <x:v>S10</x:v>
      </x:c>
      <x:c r="E37" s="44" t="str">
        <x:v>12-oct – 17-oct</x:v>
      </x:c>
      <x:c r="F37" s="44" t="str">
        <x:v>Demostración de panel, API y Player base</x:v>
      </x:c>
    </x:row>
    <x:row r="38" ht="34" customHeight="1">
      <x:c r="A38" s="45" t="str">
        <x:v>H3</x:v>
      </x:c>
      <x:c r="B38" s="45" t="str">
        <x:v>Hito</x:v>
      </x:c>
      <x:c r="C38" s="44" t="str">
        <x:v>Entrega final del proyecto</x:v>
      </x:c>
      <x:c r="D38" s="44" t="str">
        <x:v>S15</x:v>
      </x:c>
      <x:c r="E38" s="44" t="str">
        <x:v>16-nov – 21-nov</x:v>
      </x:c>
      <x:c r="F38" s="44" t="str">
        <x:v>Software, informe y manuales consolidados</x:v>
      </x:c>
    </x:row>
    <x:row r="39" ht="34" customHeight="1">
      <x:c r="A39" s="45" t="str">
        <x:v>H4</x:v>
      </x:c>
      <x:c r="B39" s="45" t="str">
        <x:v>Hito</x:v>
      </x:c>
      <x:c r="C39" s="44" t="str">
        <x:v>Examen y presentación final</x:v>
      </x:c>
      <x:c r="D39" s="44" t="str">
        <x:v>S17–S18</x:v>
      </x:c>
      <x:c r="E39" s="44" t="str">
        <x:v>30-nov – 12-dic</x:v>
      </x:c>
      <x:c r="F39" s="44" t="str">
        <x:v>Defensa y cierre académico</x:v>
      </x:c>
    </x:row>
    <x:row r="41">
      <x:c r="J41" s="59" t="str">
        <x:v>Control</x:v>
      </x:c>
      <x:c r="K41" s="59" t="str">
        <x:v>Valor</x:v>
      </x:c>
      <x:c r="L41" s="59" t="str">
        <x:v>Esperado</x:v>
      </x:c>
    </x:row>
    <x:row r="42">
      <x:c r="J42" s="113" t="str">
        <x:v>Actividades</x:v>
      </x:c>
      <x:c r="K42" s="113" t="n">
        <x:v>22</x:v>
      </x:c>
      <x:c r="L42" s="113" t="n">
        <x:v>22</x:v>
      </x:c>
    </x:row>
    <x:row r="43">
      <x:c r="J43" s="113" t="str">
        <x:v>Semanas cubiertas</x:v>
      </x:c>
      <x:c r="K43" s="113" t="n">
        <x:v>18</x:v>
      </x:c>
      <x:c r="L43" s="113" t="n">
        <x:v>18</x:v>
      </x:c>
    </x:row>
  </x:sheetData>
  <x:mergeCells>
    <x:mergeCell ref="A3:L3"/>
  </x:mergeCells>
  <x:dataValidations count="1">
    <x:dataValidation type="whole" operator="between" sqref="G7:H28">
      <x:formula1>1</x:formula1>
      <x:formula2>18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472C4"/>
  </x:sheetPr>
  <x:sheetViews>
    <x:sheetView showGridLines="0" workbookViewId="0"/>
  </x:sheetViews>
  <x:sheetFormatPr defaultRowHeight="15"/>
  <x:cols>
    <x:col min="1" max="1" width="9" hidden="0" customWidth="1"/>
    <x:col min="2" max="2" width="38" hidden="0" customWidth="1"/>
    <x:col min="3" max="3" width="20" hidden="0" customWidth="1"/>
    <x:col min="4" max="4" width="13" hidden="0" customWidth="1"/>
    <x:col min="5" max="5" width="8" hidden="0" customWidth="1"/>
    <x:col min="6" max="6" width="8" hidden="0" customWidth="1"/>
    <x:col min="7" max="7" width="10" hidden="0" customWidth="1"/>
    <x:col min="8" max="8" width="5" hidden="0" customWidth="1"/>
    <x:col min="9" max="9" width="5" hidden="0" customWidth="1"/>
    <x:col min="10" max="10" width="5" hidden="0" customWidth="1"/>
    <x:col min="11" max="11" width="5" hidden="0" customWidth="1"/>
    <x:col min="12" max="12" width="5" hidden="0" customWidth="1"/>
    <x:col min="13" max="13" width="5" hidden="0" customWidth="1"/>
    <x:col min="14" max="14" width="5" hidden="0" customWidth="1"/>
    <x:col min="15" max="15" width="5" hidden="0" customWidth="1"/>
    <x:col min="16" max="16" width="5" hidden="0" customWidth="1"/>
    <x:col min="17" max="17" width="5" hidden="0" customWidth="1"/>
    <x:col min="18" max="18" width="5" hidden="0" customWidth="1"/>
    <x:col min="19" max="19" width="5" hidden="0" customWidth="1"/>
    <x:col min="20" max="20" width="5" hidden="0" customWidth="1"/>
    <x:col min="21" max="21" width="5" hidden="0" customWidth="1"/>
    <x:col min="22" max="22" width="5" hidden="0" customWidth="1"/>
    <x:col min="23" max="23" width="5" hidden="0" customWidth="1"/>
    <x:col min="24" max="24" width="5" hidden="0" customWidth="1"/>
    <x:col min="25" max="25" width="5" hidden="0" customWidth="1"/>
  </x:cols>
  <x:sheetData>
    <x:row r="1">
      <x:c r="A1" s="2" t="str">
        <x:v>Carta Gantt ACE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</x:row>
    <x:row r="2">
      <x:c r="A2" s="3" t="str">
        <x:v>Planificación de 22 actividades entre el 10 de agosto y el 12 de diciembre de 2026</x:v>
      </x:c>
    </x:row>
    <x:row r="3" ht="28" customHeight="1">
      <x:c r="A3" s="7" t="str">
        <x:v>La hoja Plan de trabajo contiene el detalle de recursos, responsables, riesgos y entregables. Esta vista se deriva de sus semanas de inicio y fin.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</x:row>
    <x:row r="5">
      <x:c r="A5" s="50" t="str">
        <x:v>Actividad</x:v>
      </x:c>
      <x:c r="C5" s="53" t="str">
        <x:v>Hito</x:v>
      </x:c>
      <x:c r="E5" s="56" t="str">
        <x:v>Checkpoint</x:v>
      </x:c>
      <x:c r="F5" s="56"/>
      <x:c r="G5" s="56"/>
    </x:row>
    <x:row r="6" ht="28" customHeight="1">
      <x:c r="A6" s="65" t="str">
        <x:v>Código</x:v>
      </x:c>
      <x:c r="B6" s="65" t="str">
        <x:v>Actividad</x:v>
      </x:c>
      <x:c r="C6" s="65" t="str">
        <x:v>Responsable</x:v>
      </x:c>
      <x:c r="D6" s="65" t="str">
        <x:v>Tipo</x:v>
      </x:c>
      <x:c r="E6" s="65" t="str">
        <x:v>Inicio</x:v>
      </x:c>
      <x:c r="F6" s="65" t="str">
        <x:v>Fin</x:v>
      </x:c>
      <x:c r="G6" s="65" t="str">
        <x:v>Duración</x:v>
      </x:c>
      <x:c r="H6" s="66" t="n">
        <x:v>1</x:v>
      </x:c>
      <x:c r="I6" s="66" t="n">
        <x:v>2</x:v>
      </x:c>
      <x:c r="J6" s="66" t="n">
        <x:v>3</x:v>
      </x:c>
      <x:c r="K6" s="105" t="n">
        <x:v>4</x:v>
      </x:c>
      <x:c r="L6" s="66" t="n">
        <x:v>5</x:v>
      </x:c>
      <x:c r="M6" s="109" t="n">
        <x:v>6</x:v>
      </x:c>
      <x:c r="N6" s="66" t="n">
        <x:v>7</x:v>
      </x:c>
      <x:c r="O6" s="109" t="n">
        <x:v>8</x:v>
      </x:c>
      <x:c r="P6" s="66" t="n">
        <x:v>9</x:v>
      </x:c>
      <x:c r="Q6" s="105" t="n">
        <x:v>10</x:v>
      </x:c>
      <x:c r="R6" s="66" t="n">
        <x:v>11</x:v>
      </x:c>
      <x:c r="S6" s="66" t="n">
        <x:v>12</x:v>
      </x:c>
      <x:c r="T6" s="66" t="n">
        <x:v>13</x:v>
      </x:c>
      <x:c r="U6" s="66" t="n">
        <x:v>14</x:v>
      </x:c>
      <x:c r="V6" s="105" t="n">
        <x:v>15</x:v>
      </x:c>
      <x:c r="W6" s="66" t="n">
        <x:v>16</x:v>
      </x:c>
      <x:c r="X6" s="105" t="n">
        <x:v>17</x:v>
      </x:c>
      <x:c r="Y6" s="105" t="n">
        <x:v>18</x:v>
      </x:c>
    </x:row>
    <x:row r="7">
      <x:c r="A7" s="76" t="str"/>
      <x:c r="B7" s="76" t="str"/>
      <x:c r="C7" s="76" t="str"/>
      <x:c r="D7" s="76" t="str"/>
      <x:c r="E7" s="76" t="str"/>
      <x:c r="F7" s="76" t="str"/>
      <x:c r="G7" s="76" t="str"/>
      <x:c r="H7" s="77" t="n">
        <x:v>46244</x:v>
      </x:c>
      <x:c r="I7" s="77" t="n">
        <x:v>46251</x:v>
      </x:c>
      <x:c r="J7" s="77" t="n">
        <x:v>46258</x:v>
      </x:c>
      <x:c r="K7" s="106" t="n">
        <x:v>46265</x:v>
      </x:c>
      <x:c r="L7" s="77" t="n">
        <x:v>46272</x:v>
      </x:c>
      <x:c r="M7" s="110" t="n">
        <x:v>46279</x:v>
      </x:c>
      <x:c r="N7" s="77" t="n">
        <x:v>46286</x:v>
      </x:c>
      <x:c r="O7" s="110" t="n">
        <x:v>46293</x:v>
      </x:c>
      <x:c r="P7" s="77" t="n">
        <x:v>46300</x:v>
      </x:c>
      <x:c r="Q7" s="106" t="n">
        <x:v>46307</x:v>
      </x:c>
      <x:c r="R7" s="77" t="n">
        <x:v>46314</x:v>
      </x:c>
      <x:c r="S7" s="77" t="n">
        <x:v>46321</x:v>
      </x:c>
      <x:c r="T7" s="77" t="n">
        <x:v>46328</x:v>
      </x:c>
      <x:c r="U7" s="77" t="n">
        <x:v>46335</x:v>
      </x:c>
      <x:c r="V7" s="106" t="n">
        <x:v>46342</x:v>
      </x:c>
      <x:c r="W7" s="77" t="n">
        <x:v>46349</x:v>
      </x:c>
      <x:c r="X7" s="106" t="n">
        <x:v>46356</x:v>
      </x:c>
      <x:c r="Y7" s="106" t="n">
        <x:v>46363</x:v>
      </x:c>
    </x:row>
    <x:row r="8" ht="30" customHeight="1">
      <x:c r="A8" s="81" t="str">
        <x:f>'Plan de trabajo'!A7</x:f>
        <x:v>1.1</x:v>
      </x:c>
      <x:c r="B8" s="79" t="str">
        <x:f>'Plan de trabajo'!D7</x:f>
        <x:v>Levantamiento de requerimientos</x:v>
      </x:c>
      <x:c r="C8" s="79" t="str">
        <x:f>'Plan de trabajo'!J7</x:f>
        <x:v>Matías Salas</x:v>
      </x:c>
      <x:c r="D8" s="83" t="str">
        <x:v>Actividad</x:v>
      </x:c>
      <x:c r="E8" s="83" t="n">
        <x:f>'Plan de trabajo'!G7</x:f>
        <x:v>1</x:v>
      </x:c>
      <x:c r="F8" s="83" t="n">
        <x:f>'Plan de trabajo'!H7</x:f>
        <x:v>2</x:v>
      </x:c>
      <x:c r="G8" s="83" t="n">
        <x:f>'Plan de trabajo'!I7</x:f>
        <x:v>2</x:v>
      </x:c>
      <x:c r="H8" s="83" t="str">
        <x:f>IF(AND(H$6&gt;=$E8,H$6&lt;=$F8),IF($D8="Actividad","■","◆"),"")</x:f>
        <x:v>■</x:v>
      </x:c>
      <x:c r="I8" s="83" t="str">
        <x:f>IF(AND(I$6&gt;=$E8,I$6&lt;=$F8),IF($D8="Actividad","■","◆"),"")</x:f>
        <x:v>■</x:v>
      </x:c>
      <x:c r="J8" s="83" t="str">
        <x:f>IF(AND(J$6&gt;=$E8,J$6&lt;=$F8),IF($D8="Actividad","■","◆"),"")</x:f>
      </x:c>
      <x:c r="K8" s="83" t="str">
        <x:f>IF(AND(K$6&gt;=$E8,K$6&lt;=$F8),IF($D8="Actividad","■","◆"),"")</x:f>
      </x:c>
      <x:c r="L8" s="83" t="str">
        <x:f>IF(AND(L$6&gt;=$E8,L$6&lt;=$F8),IF($D8="Actividad","■","◆"),"")</x:f>
      </x:c>
      <x:c r="M8" s="83" t="str">
        <x:f>IF(AND(M$6&gt;=$E8,M$6&lt;=$F8),IF($D8="Actividad","■","◆"),"")</x:f>
      </x:c>
      <x:c r="N8" s="83" t="str">
        <x:f>IF(AND(N$6&gt;=$E8,N$6&lt;=$F8),IF($D8="Actividad","■","◆"),"")</x:f>
      </x:c>
      <x:c r="O8" s="83" t="str">
        <x:f>IF(AND(O$6&gt;=$E8,O$6&lt;=$F8),IF($D8="Actividad","■","◆"),"")</x:f>
      </x:c>
      <x:c r="P8" s="83" t="str">
        <x:f>IF(AND(P$6&gt;=$E8,P$6&lt;=$F8),IF($D8="Actividad","■","◆"),"")</x:f>
      </x:c>
      <x:c r="Q8" s="83" t="str">
        <x:f>IF(AND(Q$6&gt;=$E8,Q$6&lt;=$F8),IF($D8="Actividad","■","◆"),"")</x:f>
      </x:c>
      <x:c r="R8" s="83" t="str">
        <x:f>IF(AND(R$6&gt;=$E8,R$6&lt;=$F8),IF($D8="Actividad","■","◆"),"")</x:f>
      </x:c>
      <x:c r="S8" s="83" t="str">
        <x:f>IF(AND(S$6&gt;=$E8,S$6&lt;=$F8),IF($D8="Actividad","■","◆"),"")</x:f>
      </x:c>
      <x:c r="T8" s="83" t="str">
        <x:f>IF(AND(T$6&gt;=$E8,T$6&lt;=$F8),IF($D8="Actividad","■","◆"),"")</x:f>
      </x:c>
      <x:c r="U8" s="83" t="str">
        <x:f>IF(AND(U$6&gt;=$E8,U$6&lt;=$F8),IF($D8="Actividad","■","◆"),"")</x:f>
      </x:c>
      <x:c r="V8" s="83" t="str">
        <x:f>IF(AND(V$6&gt;=$E8,V$6&lt;=$F8),IF($D8="Actividad","■","◆"),"")</x:f>
      </x:c>
      <x:c r="W8" s="83" t="str">
        <x:f>IF(AND(W$6&gt;=$E8,W$6&lt;=$F8),IF($D8="Actividad","■","◆"),"")</x:f>
      </x:c>
      <x:c r="X8" s="83" t="str">
        <x:f>IF(AND(X$6&gt;=$E8,X$6&lt;=$F8),IF($D8="Actividad","■","◆"),"")</x:f>
      </x:c>
      <x:c r="Y8" s="83" t="str">
        <x:f>IF(AND(Y$6&gt;=$E8,Y$6&lt;=$F8),IF($D8="Actividad","■","◆"),"")</x:f>
      </x:c>
    </x:row>
    <x:row r="9" ht="30" customHeight="1">
      <x:c r="A9" s="85" t="str">
        <x:f>'Plan de trabajo'!A8</x:f>
        <x:v>1.2</x:v>
      </x:c>
      <x:c r="B9" s="86" t="str">
        <x:f>'Plan de trabajo'!D8</x:f>
        <x:v>Alcance y factibilidad</x:v>
      </x:c>
      <x:c r="C9" s="86" t="str">
        <x:f>'Plan de trabajo'!J8</x:f>
        <x:v>Tomás / Matías</x:v>
      </x:c>
      <x:c r="D9" s="87" t="str">
        <x:v>Actividad</x:v>
      </x:c>
      <x:c r="E9" s="87" t="n">
        <x:f>'Plan de trabajo'!G8</x:f>
        <x:v>2</x:v>
      </x:c>
      <x:c r="F9" s="87" t="n">
        <x:f>'Plan de trabajo'!H8</x:f>
        <x:v>3</x:v>
      </x:c>
      <x:c r="G9" s="87" t="n">
        <x:f>'Plan de trabajo'!I8</x:f>
        <x:v>2</x:v>
      </x:c>
      <x:c r="H9" s="83" t="str">
        <x:f>IF(AND(H$6&gt;=$E9,H$6&lt;=$F9),IF($D9="Actividad","■","◆"),"")</x:f>
      </x:c>
      <x:c r="I9" s="83" t="str">
        <x:f>IF(AND(I$6&gt;=$E9,I$6&lt;=$F9),IF($D9="Actividad","■","◆"),"")</x:f>
        <x:v>■</x:v>
      </x:c>
      <x:c r="J9" s="83" t="str">
        <x:f>IF(AND(J$6&gt;=$E9,J$6&lt;=$F9),IF($D9="Actividad","■","◆"),"")</x:f>
        <x:v>■</x:v>
      </x:c>
      <x:c r="K9" s="83" t="str">
        <x:f>IF(AND(K$6&gt;=$E9,K$6&lt;=$F9),IF($D9="Actividad","■","◆"),"")</x:f>
      </x:c>
      <x:c r="L9" s="83" t="str">
        <x:f>IF(AND(L$6&gt;=$E9,L$6&lt;=$F9),IF($D9="Actividad","■","◆"),"")</x:f>
      </x:c>
      <x:c r="M9" s="83" t="str">
        <x:f>IF(AND(M$6&gt;=$E9,M$6&lt;=$F9),IF($D9="Actividad","■","◆"),"")</x:f>
      </x:c>
      <x:c r="N9" s="83" t="str">
        <x:f>IF(AND(N$6&gt;=$E9,N$6&lt;=$F9),IF($D9="Actividad","■","◆"),"")</x:f>
      </x:c>
      <x:c r="O9" s="83" t="str">
        <x:f>IF(AND(O$6&gt;=$E9,O$6&lt;=$F9),IF($D9="Actividad","■","◆"),"")</x:f>
      </x:c>
      <x:c r="P9" s="83" t="str">
        <x:f>IF(AND(P$6&gt;=$E9,P$6&lt;=$F9),IF($D9="Actividad","■","◆"),"")</x:f>
      </x:c>
      <x:c r="Q9" s="83" t="str">
        <x:f>IF(AND(Q$6&gt;=$E9,Q$6&lt;=$F9),IF($D9="Actividad","■","◆"),"")</x:f>
      </x:c>
      <x:c r="R9" s="83" t="str">
        <x:f>IF(AND(R$6&gt;=$E9,R$6&lt;=$F9),IF($D9="Actividad","■","◆"),"")</x:f>
      </x:c>
      <x:c r="S9" s="83" t="str">
        <x:f>IF(AND(S$6&gt;=$E9,S$6&lt;=$F9),IF($D9="Actividad","■","◆"),"")</x:f>
      </x:c>
      <x:c r="T9" s="83" t="str">
        <x:f>IF(AND(T$6&gt;=$E9,T$6&lt;=$F9),IF($D9="Actividad","■","◆"),"")</x:f>
      </x:c>
      <x:c r="U9" s="83" t="str">
        <x:f>IF(AND(U$6&gt;=$E9,U$6&lt;=$F9),IF($D9="Actividad","■","◆"),"")</x:f>
      </x:c>
      <x:c r="V9" s="83" t="str">
        <x:f>IF(AND(V$6&gt;=$E9,V$6&lt;=$F9),IF($D9="Actividad","■","◆"),"")</x:f>
      </x:c>
      <x:c r="W9" s="83" t="str">
        <x:f>IF(AND(W$6&gt;=$E9,W$6&lt;=$F9),IF($D9="Actividad","■","◆"),"")</x:f>
      </x:c>
      <x:c r="X9" s="83" t="str">
        <x:f>IF(AND(X$6&gt;=$E9,X$6&lt;=$F9),IF($D9="Actividad","■","◆"),"")</x:f>
      </x:c>
      <x:c r="Y9" s="83" t="str">
        <x:f>IF(AND(Y$6&gt;=$E9,Y$6&lt;=$F9),IF($D9="Actividad","■","◆"),"")</x:f>
      </x:c>
    </x:row>
    <x:row r="10" ht="30" customHeight="1">
      <x:c r="A10" s="81" t="str">
        <x:f>'Plan de trabajo'!A9</x:f>
        <x:v>1.3</x:v>
      </x:c>
      <x:c r="B10" s="79" t="str">
        <x:f>'Plan de trabajo'!D9</x:f>
        <x:v>Stack y arquitectura</x:v>
      </x:c>
      <x:c r="C10" s="79" t="str">
        <x:f>'Plan de trabajo'!J9</x:f>
        <x:v>Tomás / Paulo</x:v>
      </x:c>
      <x:c r="D10" s="83" t="str">
        <x:v>Actividad</x:v>
      </x:c>
      <x:c r="E10" s="83" t="n">
        <x:f>'Plan de trabajo'!G9</x:f>
        <x:v>2</x:v>
      </x:c>
      <x:c r="F10" s="83" t="n">
        <x:f>'Plan de trabajo'!H9</x:f>
        <x:v>3</x:v>
      </x:c>
      <x:c r="G10" s="83" t="n">
        <x:f>'Plan de trabajo'!I9</x:f>
        <x:v>2</x:v>
      </x:c>
      <x:c r="H10" s="83" t="str">
        <x:f>IF(AND(H$6&gt;=$E10,H$6&lt;=$F10),IF($D10="Actividad","■","◆"),"")</x:f>
      </x:c>
      <x:c r="I10" s="83" t="str">
        <x:f>IF(AND(I$6&gt;=$E10,I$6&lt;=$F10),IF($D10="Actividad","■","◆"),"")</x:f>
        <x:v>■</x:v>
      </x:c>
      <x:c r="J10" s="83" t="str">
        <x:f>IF(AND(J$6&gt;=$E10,J$6&lt;=$F10),IF($D10="Actividad","■","◆"),"")</x:f>
        <x:v>■</x:v>
      </x:c>
      <x:c r="K10" s="83" t="str">
        <x:f>IF(AND(K$6&gt;=$E10,K$6&lt;=$F10),IF($D10="Actividad","■","◆"),"")</x:f>
      </x:c>
      <x:c r="L10" s="83" t="str">
        <x:f>IF(AND(L$6&gt;=$E10,L$6&lt;=$F10),IF($D10="Actividad","■","◆"),"")</x:f>
      </x:c>
      <x:c r="M10" s="83" t="str">
        <x:f>IF(AND(M$6&gt;=$E10,M$6&lt;=$F10),IF($D10="Actividad","■","◆"),"")</x:f>
      </x:c>
      <x:c r="N10" s="83" t="str">
        <x:f>IF(AND(N$6&gt;=$E10,N$6&lt;=$F10),IF($D10="Actividad","■","◆"),"")</x:f>
      </x:c>
      <x:c r="O10" s="83" t="str">
        <x:f>IF(AND(O$6&gt;=$E10,O$6&lt;=$F10),IF($D10="Actividad","■","◆"),"")</x:f>
      </x:c>
      <x:c r="P10" s="83" t="str">
        <x:f>IF(AND(P$6&gt;=$E10,P$6&lt;=$F10),IF($D10="Actividad","■","◆"),"")</x:f>
      </x:c>
      <x:c r="Q10" s="83" t="str">
        <x:f>IF(AND(Q$6&gt;=$E10,Q$6&lt;=$F10),IF($D10="Actividad","■","◆"),"")</x:f>
      </x:c>
      <x:c r="R10" s="83" t="str">
        <x:f>IF(AND(R$6&gt;=$E10,R$6&lt;=$F10),IF($D10="Actividad","■","◆"),"")</x:f>
      </x:c>
      <x:c r="S10" s="83" t="str">
        <x:f>IF(AND(S$6&gt;=$E10,S$6&lt;=$F10),IF($D10="Actividad","■","◆"),"")</x:f>
      </x:c>
      <x:c r="T10" s="83" t="str">
        <x:f>IF(AND(T$6&gt;=$E10,T$6&lt;=$F10),IF($D10="Actividad","■","◆"),"")</x:f>
      </x:c>
      <x:c r="U10" s="83" t="str">
        <x:f>IF(AND(U$6&gt;=$E10,U$6&lt;=$F10),IF($D10="Actividad","■","◆"),"")</x:f>
      </x:c>
      <x:c r="V10" s="83" t="str">
        <x:f>IF(AND(V$6&gt;=$E10,V$6&lt;=$F10),IF($D10="Actividad","■","◆"),"")</x:f>
      </x:c>
      <x:c r="W10" s="83" t="str">
        <x:f>IF(AND(W$6&gt;=$E10,W$6&lt;=$F10),IF($D10="Actividad","■","◆"),"")</x:f>
      </x:c>
      <x:c r="X10" s="83" t="str">
        <x:f>IF(AND(X$6&gt;=$E10,X$6&lt;=$F10),IF($D10="Actividad","■","◆"),"")</x:f>
      </x:c>
      <x:c r="Y10" s="83" t="str">
        <x:f>IF(AND(Y$6&gt;=$E10,Y$6&lt;=$F10),IF($D10="Actividad","■","◆"),"")</x:f>
      </x:c>
    </x:row>
    <x:row r="11" ht="30" customHeight="1">
      <x:c r="A11" s="85" t="str">
        <x:f>'Plan de trabajo'!A10</x:f>
        <x:v>1.4</x:v>
      </x:c>
      <x:c r="B11" s="86" t="str">
        <x:f>'Plan de trabajo'!D10</x:f>
        <x:v>Informe y presentación Fase 1</x:v>
      </x:c>
      <x:c r="C11" s="86" t="str">
        <x:f>'Plan de trabajo'!J10</x:f>
        <x:v>Equipo</x:v>
      </x:c>
      <x:c r="D11" s="87" t="str">
        <x:v>Actividad</x:v>
      </x:c>
      <x:c r="E11" s="87" t="n">
        <x:f>'Plan de trabajo'!G10</x:f>
        <x:v>3</x:v>
      </x:c>
      <x:c r="F11" s="87" t="n">
        <x:f>'Plan de trabajo'!H10</x:f>
        <x:v>4</x:v>
      </x:c>
      <x:c r="G11" s="87" t="n">
        <x:f>'Plan de trabajo'!I10</x:f>
        <x:v>2</x:v>
      </x:c>
      <x:c r="H11" s="83" t="str">
        <x:f>IF(AND(H$6&gt;=$E11,H$6&lt;=$F11),IF($D11="Actividad","■","◆"),"")</x:f>
      </x:c>
      <x:c r="I11" s="83" t="str">
        <x:f>IF(AND(I$6&gt;=$E11,I$6&lt;=$F11),IF($D11="Actividad","■","◆"),"")</x:f>
      </x:c>
      <x:c r="J11" s="83" t="str">
        <x:f>IF(AND(J$6&gt;=$E11,J$6&lt;=$F11),IF($D11="Actividad","■","◆"),"")</x:f>
        <x:v>■</x:v>
      </x:c>
      <x:c r="K11" s="83" t="str">
        <x:f>IF(AND(K$6&gt;=$E11,K$6&lt;=$F11),IF($D11="Actividad","■","◆"),"")</x:f>
        <x:v>■</x:v>
      </x:c>
      <x:c r="L11" s="83" t="str">
        <x:f>IF(AND(L$6&gt;=$E11,L$6&lt;=$F11),IF($D11="Actividad","■","◆"),"")</x:f>
      </x:c>
      <x:c r="M11" s="83" t="str">
        <x:f>IF(AND(M$6&gt;=$E11,M$6&lt;=$F11),IF($D11="Actividad","■","◆"),"")</x:f>
      </x:c>
      <x:c r="N11" s="83" t="str">
        <x:f>IF(AND(N$6&gt;=$E11,N$6&lt;=$F11),IF($D11="Actividad","■","◆"),"")</x:f>
      </x:c>
      <x:c r="O11" s="83" t="str">
        <x:f>IF(AND(O$6&gt;=$E11,O$6&lt;=$F11),IF($D11="Actividad","■","◆"),"")</x:f>
      </x:c>
      <x:c r="P11" s="83" t="str">
        <x:f>IF(AND(P$6&gt;=$E11,P$6&lt;=$F11),IF($D11="Actividad","■","◆"),"")</x:f>
      </x:c>
      <x:c r="Q11" s="83" t="str">
        <x:f>IF(AND(Q$6&gt;=$E11,Q$6&lt;=$F11),IF($D11="Actividad","■","◆"),"")</x:f>
      </x:c>
      <x:c r="R11" s="83" t="str">
        <x:f>IF(AND(R$6&gt;=$E11,R$6&lt;=$F11),IF($D11="Actividad","■","◆"),"")</x:f>
      </x:c>
      <x:c r="S11" s="83" t="str">
        <x:f>IF(AND(S$6&gt;=$E11,S$6&lt;=$F11),IF($D11="Actividad","■","◆"),"")</x:f>
      </x:c>
      <x:c r="T11" s="83" t="str">
        <x:f>IF(AND(T$6&gt;=$E11,T$6&lt;=$F11),IF($D11="Actividad","■","◆"),"")</x:f>
      </x:c>
      <x:c r="U11" s="83" t="str">
        <x:f>IF(AND(U$6&gt;=$E11,U$6&lt;=$F11),IF($D11="Actividad","■","◆"),"")</x:f>
      </x:c>
      <x:c r="V11" s="83" t="str">
        <x:f>IF(AND(V$6&gt;=$E11,V$6&lt;=$F11),IF($D11="Actividad","■","◆"),"")</x:f>
      </x:c>
      <x:c r="W11" s="83" t="str">
        <x:f>IF(AND(W$6&gt;=$E11,W$6&lt;=$F11),IF($D11="Actividad","■","◆"),"")</x:f>
      </x:c>
      <x:c r="X11" s="83" t="str">
        <x:f>IF(AND(X$6&gt;=$E11,X$6&lt;=$F11),IF($D11="Actividad","■","◆"),"")</x:f>
      </x:c>
      <x:c r="Y11" s="83" t="str">
        <x:f>IF(AND(Y$6&gt;=$E11,Y$6&lt;=$F11),IF($D11="Actividad","■","◆"),"")</x:f>
      </x:c>
    </x:row>
    <x:row r="12" ht="26" customHeight="1">
      <x:c r="A12" s="91" t="str">
        <x:v>H1</x:v>
      </x:c>
      <x:c r="B12" s="91" t="str">
        <x:v>Presentación grupal Fase 1</x:v>
      </x:c>
      <x:c r="C12" s="91" t="str">
        <x:v>Equipo</x:v>
      </x:c>
      <x:c r="D12" s="92" t="str">
        <x:v>Hito</x:v>
      </x:c>
      <x:c r="E12" s="92" t="n">
        <x:v>4</x:v>
      </x:c>
      <x:c r="F12" s="92" t="n">
        <x:v>4</x:v>
      </x:c>
      <x:c r="G12" s="92" t="n">
        <x:v>1</x:v>
      </x:c>
      <x:c r="H12" s="83" t="str">
        <x:f>IF(AND(H$6&gt;=$E12,H$6&lt;=$F12),IF($D12="Actividad","■","◆"),"")</x:f>
      </x:c>
      <x:c r="I12" s="83" t="str">
        <x:f>IF(AND(I$6&gt;=$E12,I$6&lt;=$F12),IF($D12="Actividad","■","◆"),"")</x:f>
      </x:c>
      <x:c r="J12" s="83" t="str">
        <x:f>IF(AND(J$6&gt;=$E12,J$6&lt;=$F12),IF($D12="Actividad","■","◆"),"")</x:f>
      </x:c>
      <x:c r="K12" s="83" t="str">
        <x:f>IF(AND(K$6&gt;=$E12,K$6&lt;=$F12),IF($D12="Actividad","■","◆"),"")</x:f>
        <x:v>◆</x:v>
      </x:c>
      <x:c r="L12" s="83" t="str">
        <x:f>IF(AND(L$6&gt;=$E12,L$6&lt;=$F12),IF($D12="Actividad","■","◆"),"")</x:f>
      </x:c>
      <x:c r="M12" s="83" t="str">
        <x:f>IF(AND(M$6&gt;=$E12,M$6&lt;=$F12),IF($D12="Actividad","■","◆"),"")</x:f>
      </x:c>
      <x:c r="N12" s="83" t="str">
        <x:f>IF(AND(N$6&gt;=$E12,N$6&lt;=$F12),IF($D12="Actividad","■","◆"),"")</x:f>
      </x:c>
      <x:c r="O12" s="83" t="str">
        <x:f>IF(AND(O$6&gt;=$E12,O$6&lt;=$F12),IF($D12="Actividad","■","◆"),"")</x:f>
      </x:c>
      <x:c r="P12" s="83" t="str">
        <x:f>IF(AND(P$6&gt;=$E12,P$6&lt;=$F12),IF($D12="Actividad","■","◆"),"")</x:f>
      </x:c>
      <x:c r="Q12" s="83" t="str">
        <x:f>IF(AND(Q$6&gt;=$E12,Q$6&lt;=$F12),IF($D12="Actividad","■","◆"),"")</x:f>
      </x:c>
      <x:c r="R12" s="83" t="str">
        <x:f>IF(AND(R$6&gt;=$E12,R$6&lt;=$F12),IF($D12="Actividad","■","◆"),"")</x:f>
      </x:c>
      <x:c r="S12" s="83" t="str">
        <x:f>IF(AND(S$6&gt;=$E12,S$6&lt;=$F12),IF($D12="Actividad","■","◆"),"")</x:f>
      </x:c>
      <x:c r="T12" s="83" t="str">
        <x:f>IF(AND(T$6&gt;=$E12,T$6&lt;=$F12),IF($D12="Actividad","■","◆"),"")</x:f>
      </x:c>
      <x:c r="U12" s="83" t="str">
        <x:f>IF(AND(U$6&gt;=$E12,U$6&lt;=$F12),IF($D12="Actividad","■","◆"),"")</x:f>
      </x:c>
      <x:c r="V12" s="83" t="str">
        <x:f>IF(AND(V$6&gt;=$E12,V$6&lt;=$F12),IF($D12="Actividad","■","◆"),"")</x:f>
      </x:c>
      <x:c r="W12" s="83" t="str">
        <x:f>IF(AND(W$6&gt;=$E12,W$6&lt;=$F12),IF($D12="Actividad","■","◆"),"")</x:f>
      </x:c>
      <x:c r="X12" s="83" t="str">
        <x:f>IF(AND(X$6&gt;=$E12,X$6&lt;=$F12),IF($D12="Actividad","■","◆"),"")</x:f>
      </x:c>
      <x:c r="Y12" s="83" t="str">
        <x:f>IF(AND(Y$6&gt;=$E12,Y$6&lt;=$F12),IF($D12="Actividad","■","◆"),"")</x:f>
      </x:c>
    </x:row>
    <x:row r="13" ht="30" customHeight="1">
      <x:c r="A13" s="85" t="str">
        <x:f>'Plan de trabajo'!A11</x:f>
        <x:v>2.1</x:v>
      </x:c>
      <x:c r="B13" s="86" t="str">
        <x:f>'Plan de trabajo'!D11</x:f>
        <x:v>Ajustes y preparación técnica</x:v>
      </x:c>
      <x:c r="C13" s="86" t="str">
        <x:f>'Plan de trabajo'!J11</x:f>
        <x:v>Equipo</x:v>
      </x:c>
      <x:c r="D13" s="87" t="str">
        <x:v>Actividad</x:v>
      </x:c>
      <x:c r="E13" s="87" t="n">
        <x:f>'Plan de trabajo'!G11</x:f>
        <x:v>5</x:v>
      </x:c>
      <x:c r="F13" s="87" t="n">
        <x:f>'Plan de trabajo'!H11</x:f>
        <x:v>5</x:v>
      </x:c>
      <x:c r="G13" s="87" t="n">
        <x:f>'Plan de trabajo'!I11</x:f>
        <x:v>1</x:v>
      </x:c>
      <x:c r="H13" s="83" t="str">
        <x:f>IF(AND(H$6&gt;=$E13,H$6&lt;=$F13),IF($D13="Actividad","■","◆"),"")</x:f>
      </x:c>
      <x:c r="I13" s="83" t="str">
        <x:f>IF(AND(I$6&gt;=$E13,I$6&lt;=$F13),IF($D13="Actividad","■","◆"),"")</x:f>
      </x:c>
      <x:c r="J13" s="83" t="str">
        <x:f>IF(AND(J$6&gt;=$E13,J$6&lt;=$F13),IF($D13="Actividad","■","◆"),"")</x:f>
      </x:c>
      <x:c r="K13" s="83" t="str">
        <x:f>IF(AND(K$6&gt;=$E13,K$6&lt;=$F13),IF($D13="Actividad","■","◆"),"")</x:f>
      </x:c>
      <x:c r="L13" s="83" t="str">
        <x:f>IF(AND(L$6&gt;=$E13,L$6&lt;=$F13),IF($D13="Actividad","■","◆"),"")</x:f>
        <x:v>■</x:v>
      </x:c>
      <x:c r="M13" s="83" t="str">
        <x:f>IF(AND(M$6&gt;=$E13,M$6&lt;=$F13),IF($D13="Actividad","■","◆"),"")</x:f>
      </x:c>
      <x:c r="N13" s="83" t="str">
        <x:f>IF(AND(N$6&gt;=$E13,N$6&lt;=$F13),IF($D13="Actividad","■","◆"),"")</x:f>
      </x:c>
      <x:c r="O13" s="83" t="str">
        <x:f>IF(AND(O$6&gt;=$E13,O$6&lt;=$F13),IF($D13="Actividad","■","◆"),"")</x:f>
      </x:c>
      <x:c r="P13" s="83" t="str">
        <x:f>IF(AND(P$6&gt;=$E13,P$6&lt;=$F13),IF($D13="Actividad","■","◆"),"")</x:f>
      </x:c>
      <x:c r="Q13" s="83" t="str">
        <x:f>IF(AND(Q$6&gt;=$E13,Q$6&lt;=$F13),IF($D13="Actividad","■","◆"),"")</x:f>
      </x:c>
      <x:c r="R13" s="83" t="str">
        <x:f>IF(AND(R$6&gt;=$E13,R$6&lt;=$F13),IF($D13="Actividad","■","◆"),"")</x:f>
      </x:c>
      <x:c r="S13" s="83" t="str">
        <x:f>IF(AND(S$6&gt;=$E13,S$6&lt;=$F13),IF($D13="Actividad","■","◆"),"")</x:f>
      </x:c>
      <x:c r="T13" s="83" t="str">
        <x:f>IF(AND(T$6&gt;=$E13,T$6&lt;=$F13),IF($D13="Actividad","■","◆"),"")</x:f>
      </x:c>
      <x:c r="U13" s="83" t="str">
        <x:f>IF(AND(U$6&gt;=$E13,U$6&lt;=$F13),IF($D13="Actividad","■","◆"),"")</x:f>
      </x:c>
      <x:c r="V13" s="83" t="str">
        <x:f>IF(AND(V$6&gt;=$E13,V$6&lt;=$F13),IF($D13="Actividad","■","◆"),"")</x:f>
      </x:c>
      <x:c r="W13" s="83" t="str">
        <x:f>IF(AND(W$6&gt;=$E13,W$6&lt;=$F13),IF($D13="Actividad","■","◆"),"")</x:f>
      </x:c>
      <x:c r="X13" s="83" t="str">
        <x:f>IF(AND(X$6&gt;=$E13,X$6&lt;=$F13),IF($D13="Actividad","■","◆"),"")</x:f>
      </x:c>
      <x:c r="Y13" s="83" t="str">
        <x:f>IF(AND(Y$6&gt;=$E13,Y$6&lt;=$F13),IF($D13="Actividad","■","◆"),"")</x:f>
      </x:c>
    </x:row>
    <x:row r="14" ht="30" customHeight="1">
      <x:c r="A14" s="81" t="str">
        <x:f>'Plan de trabajo'!A12</x:f>
        <x:v>2.2</x:v>
      </x:c>
      <x:c r="B14" s="79" t="str">
        <x:f>'Plan de trabajo'!D12</x:f>
        <x:v>Modelado de datos</x:v>
      </x:c>
      <x:c r="C14" s="79" t="str">
        <x:f>'Plan de trabajo'!J12</x:f>
        <x:v>Paulo / Tomás</x:v>
      </x:c>
      <x:c r="D14" s="83" t="str">
        <x:v>Actividad</x:v>
      </x:c>
      <x:c r="E14" s="83" t="n">
        <x:f>'Plan de trabajo'!G12</x:f>
        <x:v>5</x:v>
      </x:c>
      <x:c r="F14" s="83" t="n">
        <x:f>'Plan de trabajo'!H12</x:f>
        <x:v>6</x:v>
      </x:c>
      <x:c r="G14" s="83" t="n">
        <x:f>'Plan de trabajo'!I12</x:f>
        <x:v>2</x:v>
      </x:c>
      <x:c r="H14" s="83" t="str">
        <x:f>IF(AND(H$6&gt;=$E14,H$6&lt;=$F14),IF($D14="Actividad","■","◆"),"")</x:f>
      </x:c>
      <x:c r="I14" s="83" t="str">
        <x:f>IF(AND(I$6&gt;=$E14,I$6&lt;=$F14),IF($D14="Actividad","■","◆"),"")</x:f>
      </x:c>
      <x:c r="J14" s="83" t="str">
        <x:f>IF(AND(J$6&gt;=$E14,J$6&lt;=$F14),IF($D14="Actividad","■","◆"),"")</x:f>
      </x:c>
      <x:c r="K14" s="83" t="str">
        <x:f>IF(AND(K$6&gt;=$E14,K$6&lt;=$F14),IF($D14="Actividad","■","◆"),"")</x:f>
      </x:c>
      <x:c r="L14" s="83" t="str">
        <x:f>IF(AND(L$6&gt;=$E14,L$6&lt;=$F14),IF($D14="Actividad","■","◆"),"")</x:f>
        <x:v>■</x:v>
      </x:c>
      <x:c r="M14" s="83" t="str">
        <x:f>IF(AND(M$6&gt;=$E14,M$6&lt;=$F14),IF($D14="Actividad","■","◆"),"")</x:f>
        <x:v>■</x:v>
      </x:c>
      <x:c r="N14" s="83" t="str">
        <x:f>IF(AND(N$6&gt;=$E14,N$6&lt;=$F14),IF($D14="Actividad","■","◆"),"")</x:f>
      </x:c>
      <x:c r="O14" s="83" t="str">
        <x:f>IF(AND(O$6&gt;=$E14,O$6&lt;=$F14),IF($D14="Actividad","■","◆"),"")</x:f>
      </x:c>
      <x:c r="P14" s="83" t="str">
        <x:f>IF(AND(P$6&gt;=$E14,P$6&lt;=$F14),IF($D14="Actividad","■","◆"),"")</x:f>
      </x:c>
      <x:c r="Q14" s="83" t="str">
        <x:f>IF(AND(Q$6&gt;=$E14,Q$6&lt;=$F14),IF($D14="Actividad","■","◆"),"")</x:f>
      </x:c>
      <x:c r="R14" s="83" t="str">
        <x:f>IF(AND(R$6&gt;=$E14,R$6&lt;=$F14),IF($D14="Actividad","■","◆"),"")</x:f>
      </x:c>
      <x:c r="S14" s="83" t="str">
        <x:f>IF(AND(S$6&gt;=$E14,S$6&lt;=$F14),IF($D14="Actividad","■","◆"),"")</x:f>
      </x:c>
      <x:c r="T14" s="83" t="str">
        <x:f>IF(AND(T$6&gt;=$E14,T$6&lt;=$F14),IF($D14="Actividad","■","◆"),"")</x:f>
      </x:c>
      <x:c r="U14" s="83" t="str">
        <x:f>IF(AND(U$6&gt;=$E14,U$6&lt;=$F14),IF($D14="Actividad","■","◆"),"")</x:f>
      </x:c>
      <x:c r="V14" s="83" t="str">
        <x:f>IF(AND(V$6&gt;=$E14,V$6&lt;=$F14),IF($D14="Actividad","■","◆"),"")</x:f>
      </x:c>
      <x:c r="W14" s="83" t="str">
        <x:f>IF(AND(W$6&gt;=$E14,W$6&lt;=$F14),IF($D14="Actividad","■","◆"),"")</x:f>
      </x:c>
      <x:c r="X14" s="83" t="str">
        <x:f>IF(AND(X$6&gt;=$E14,X$6&lt;=$F14),IF($D14="Actividad","■","◆"),"")</x:f>
      </x:c>
      <x:c r="Y14" s="83" t="str">
        <x:f>IF(AND(Y$6&gt;=$E14,Y$6&lt;=$F14),IF($D14="Actividad","■","◆"),"")</x:f>
      </x:c>
    </x:row>
    <x:row r="15" ht="30" customHeight="1">
      <x:c r="A15" s="85" t="str">
        <x:f>'Plan de trabajo'!A13</x:f>
        <x:v>2.3</x:v>
      </x:c>
      <x:c r="B15" s="86" t="str">
        <x:f>'Plan de trabajo'!D13</x:f>
        <x:v>Diseño UI/UX Panel Admin</x:v>
      </x:c>
      <x:c r="C15" s="86" t="str">
        <x:f>'Plan de trabajo'!J13</x:f>
        <x:v>Paulo Loyola</x:v>
      </x:c>
      <x:c r="D15" s="87" t="str">
        <x:v>Actividad</x:v>
      </x:c>
      <x:c r="E15" s="87" t="n">
        <x:f>'Plan de trabajo'!G13</x:f>
        <x:v>5</x:v>
      </x:c>
      <x:c r="F15" s="87" t="n">
        <x:f>'Plan de trabajo'!H13</x:f>
        <x:v>6</x:v>
      </x:c>
      <x:c r="G15" s="87" t="n">
        <x:f>'Plan de trabajo'!I13</x:f>
        <x:v>2</x:v>
      </x:c>
      <x:c r="H15" s="83" t="str">
        <x:f>IF(AND(H$6&gt;=$E15,H$6&lt;=$F15),IF($D15="Actividad","■","◆"),"")</x:f>
      </x:c>
      <x:c r="I15" s="83" t="str">
        <x:f>IF(AND(I$6&gt;=$E15,I$6&lt;=$F15),IF($D15="Actividad","■","◆"),"")</x:f>
      </x:c>
      <x:c r="J15" s="83" t="str">
        <x:f>IF(AND(J$6&gt;=$E15,J$6&lt;=$F15),IF($D15="Actividad","■","◆"),"")</x:f>
      </x:c>
      <x:c r="K15" s="83" t="str">
        <x:f>IF(AND(K$6&gt;=$E15,K$6&lt;=$F15),IF($D15="Actividad","■","◆"),"")</x:f>
      </x:c>
      <x:c r="L15" s="83" t="str">
        <x:f>IF(AND(L$6&gt;=$E15,L$6&lt;=$F15),IF($D15="Actividad","■","◆"),"")</x:f>
        <x:v>■</x:v>
      </x:c>
      <x:c r="M15" s="83" t="str">
        <x:f>IF(AND(M$6&gt;=$E15,M$6&lt;=$F15),IF($D15="Actividad","■","◆"),"")</x:f>
        <x:v>■</x:v>
      </x:c>
      <x:c r="N15" s="83" t="str">
        <x:f>IF(AND(N$6&gt;=$E15,N$6&lt;=$F15),IF($D15="Actividad","■","◆"),"")</x:f>
      </x:c>
      <x:c r="O15" s="83" t="str">
        <x:f>IF(AND(O$6&gt;=$E15,O$6&lt;=$F15),IF($D15="Actividad","■","◆"),"")</x:f>
      </x:c>
      <x:c r="P15" s="83" t="str">
        <x:f>IF(AND(P$6&gt;=$E15,P$6&lt;=$F15),IF($D15="Actividad","■","◆"),"")</x:f>
      </x:c>
      <x:c r="Q15" s="83" t="str">
        <x:f>IF(AND(Q$6&gt;=$E15,Q$6&lt;=$F15),IF($D15="Actividad","■","◆"),"")</x:f>
      </x:c>
      <x:c r="R15" s="83" t="str">
        <x:f>IF(AND(R$6&gt;=$E15,R$6&lt;=$F15),IF($D15="Actividad","■","◆"),"")</x:f>
      </x:c>
      <x:c r="S15" s="83" t="str">
        <x:f>IF(AND(S$6&gt;=$E15,S$6&lt;=$F15),IF($D15="Actividad","■","◆"),"")</x:f>
      </x:c>
      <x:c r="T15" s="83" t="str">
        <x:f>IF(AND(T$6&gt;=$E15,T$6&lt;=$F15),IF($D15="Actividad","■","◆"),"")</x:f>
      </x:c>
      <x:c r="U15" s="83" t="str">
        <x:f>IF(AND(U$6&gt;=$E15,U$6&lt;=$F15),IF($D15="Actividad","■","◆"),"")</x:f>
      </x:c>
      <x:c r="V15" s="83" t="str">
        <x:f>IF(AND(V$6&gt;=$E15,V$6&lt;=$F15),IF($D15="Actividad","■","◆"),"")</x:f>
      </x:c>
      <x:c r="W15" s="83" t="str">
        <x:f>IF(AND(W$6&gt;=$E15,W$6&lt;=$F15),IF($D15="Actividad","■","◆"),"")</x:f>
      </x:c>
      <x:c r="X15" s="83" t="str">
        <x:f>IF(AND(X$6&gt;=$E15,X$6&lt;=$F15),IF($D15="Actividad","■","◆"),"")</x:f>
      </x:c>
      <x:c r="Y15" s="83" t="str">
        <x:f>IF(AND(Y$6&gt;=$E15,Y$6&lt;=$F15),IF($D15="Actividad","■","◆"),"")</x:f>
      </x:c>
    </x:row>
    <x:row r="16" ht="30" customHeight="1">
      <x:c r="A16" s="81" t="str">
        <x:f>'Plan de trabajo'!A14</x:f>
        <x:v>2.4</x:v>
      </x:c>
      <x:c r="B16" s="79" t="str">
        <x:f>'Plan de trabajo'!D14</x:f>
        <x:v>Contratos API y operación local</x:v>
      </x:c>
      <x:c r="C16" s="79" t="str">
        <x:f>'Plan de trabajo'!J14</x:f>
        <x:v>Tomás / Matías</x:v>
      </x:c>
      <x:c r="D16" s="83" t="str">
        <x:v>Actividad</x:v>
      </x:c>
      <x:c r="E16" s="83" t="n">
        <x:f>'Plan de trabajo'!G14</x:f>
        <x:v>6</x:v>
      </x:c>
      <x:c r="F16" s="83" t="n">
        <x:f>'Plan de trabajo'!H14</x:f>
        <x:v>6</x:v>
      </x:c>
      <x:c r="G16" s="83" t="n">
        <x:f>'Plan de trabajo'!I14</x:f>
        <x:v>1</x:v>
      </x:c>
      <x:c r="H16" s="83" t="str">
        <x:f>IF(AND(H$6&gt;=$E16,H$6&lt;=$F16),IF($D16="Actividad","■","◆"),"")</x:f>
      </x:c>
      <x:c r="I16" s="83" t="str">
        <x:f>IF(AND(I$6&gt;=$E16,I$6&lt;=$F16),IF($D16="Actividad","■","◆"),"")</x:f>
      </x:c>
      <x:c r="J16" s="83" t="str">
        <x:f>IF(AND(J$6&gt;=$E16,J$6&lt;=$F16),IF($D16="Actividad","■","◆"),"")</x:f>
      </x:c>
      <x:c r="K16" s="83" t="str">
        <x:f>IF(AND(K$6&gt;=$E16,K$6&lt;=$F16),IF($D16="Actividad","■","◆"),"")</x:f>
      </x:c>
      <x:c r="L16" s="83" t="str">
        <x:f>IF(AND(L$6&gt;=$E16,L$6&lt;=$F16),IF($D16="Actividad","■","◆"),"")</x:f>
      </x:c>
      <x:c r="M16" s="83" t="str">
        <x:f>IF(AND(M$6&gt;=$E16,M$6&lt;=$F16),IF($D16="Actividad","■","◆"),"")</x:f>
        <x:v>■</x:v>
      </x:c>
      <x:c r="N16" s="83" t="str">
        <x:f>IF(AND(N$6&gt;=$E16,N$6&lt;=$F16),IF($D16="Actividad","■","◆"),"")</x:f>
      </x:c>
      <x:c r="O16" s="83" t="str">
        <x:f>IF(AND(O$6&gt;=$E16,O$6&lt;=$F16),IF($D16="Actividad","■","◆"),"")</x:f>
      </x:c>
      <x:c r="P16" s="83" t="str">
        <x:f>IF(AND(P$6&gt;=$E16,P$6&lt;=$F16),IF($D16="Actividad","■","◆"),"")</x:f>
      </x:c>
      <x:c r="Q16" s="83" t="str">
        <x:f>IF(AND(Q$6&gt;=$E16,Q$6&lt;=$F16),IF($D16="Actividad","■","◆"),"")</x:f>
      </x:c>
      <x:c r="R16" s="83" t="str">
        <x:f>IF(AND(R$6&gt;=$E16,R$6&lt;=$F16),IF($D16="Actividad","■","◆"),"")</x:f>
      </x:c>
      <x:c r="S16" s="83" t="str">
        <x:f>IF(AND(S$6&gt;=$E16,S$6&lt;=$F16),IF($D16="Actividad","■","◆"),"")</x:f>
      </x:c>
      <x:c r="T16" s="83" t="str">
        <x:f>IF(AND(T$6&gt;=$E16,T$6&lt;=$F16),IF($D16="Actividad","■","◆"),"")</x:f>
      </x:c>
      <x:c r="U16" s="83" t="str">
        <x:f>IF(AND(U$6&gt;=$E16,U$6&lt;=$F16),IF($D16="Actividad","■","◆"),"")</x:f>
      </x:c>
      <x:c r="V16" s="83" t="str">
        <x:f>IF(AND(V$6&gt;=$E16,V$6&lt;=$F16),IF($D16="Actividad","■","◆"),"")</x:f>
      </x:c>
      <x:c r="W16" s="83" t="str">
        <x:f>IF(AND(W$6&gt;=$E16,W$6&lt;=$F16),IF($D16="Actividad","■","◆"),"")</x:f>
      </x:c>
      <x:c r="X16" s="83" t="str">
        <x:f>IF(AND(X$6&gt;=$E16,X$6&lt;=$F16),IF($D16="Actividad","■","◆"),"")</x:f>
      </x:c>
      <x:c r="Y16" s="83" t="str">
        <x:f>IF(AND(Y$6&gt;=$E16,Y$6&lt;=$F16),IF($D16="Actividad","■","◆"),"")</x:f>
      </x:c>
    </x:row>
    <x:row r="17" ht="26" customHeight="1">
      <x:c r="A17" s="96" t="str">
        <x:v>C1</x:v>
      </x:c>
      <x:c r="B17" s="96" t="str">
        <x:v>Decisión de operación local</x:v>
      </x:c>
      <x:c r="C17" s="96" t="str">
        <x:v>Equipo</x:v>
      </x:c>
      <x:c r="D17" s="97" t="str">
        <x:v>Checkpoint</x:v>
      </x:c>
      <x:c r="E17" s="97" t="n">
        <x:v>6</x:v>
      </x:c>
      <x:c r="F17" s="97" t="n">
        <x:v>6</x:v>
      </x:c>
      <x:c r="G17" s="97" t="n">
        <x:v>1</x:v>
      </x:c>
      <x:c r="H17" s="83" t="str">
        <x:f>IF(AND(H$6&gt;=$E17,H$6&lt;=$F17),IF($D17="Actividad","■","◆"),"")</x:f>
      </x:c>
      <x:c r="I17" s="83" t="str">
        <x:f>IF(AND(I$6&gt;=$E17,I$6&lt;=$F17),IF($D17="Actividad","■","◆"),"")</x:f>
      </x:c>
      <x:c r="J17" s="83" t="str">
        <x:f>IF(AND(J$6&gt;=$E17,J$6&lt;=$F17),IF($D17="Actividad","■","◆"),"")</x:f>
      </x:c>
      <x:c r="K17" s="83" t="str">
        <x:f>IF(AND(K$6&gt;=$E17,K$6&lt;=$F17),IF($D17="Actividad","■","◆"),"")</x:f>
      </x:c>
      <x:c r="L17" s="83" t="str">
        <x:f>IF(AND(L$6&gt;=$E17,L$6&lt;=$F17),IF($D17="Actividad","■","◆"),"")</x:f>
      </x:c>
      <x:c r="M17" s="83" t="str">
        <x:f>IF(AND(M$6&gt;=$E17,M$6&lt;=$F17),IF($D17="Actividad","■","◆"),"")</x:f>
        <x:v>◆</x:v>
      </x:c>
      <x:c r="N17" s="83" t="str">
        <x:f>IF(AND(N$6&gt;=$E17,N$6&lt;=$F17),IF($D17="Actividad","■","◆"),"")</x:f>
      </x:c>
      <x:c r="O17" s="83" t="str">
        <x:f>IF(AND(O$6&gt;=$E17,O$6&lt;=$F17),IF($D17="Actividad","■","◆"),"")</x:f>
      </x:c>
      <x:c r="P17" s="83" t="str">
        <x:f>IF(AND(P$6&gt;=$E17,P$6&lt;=$F17),IF($D17="Actividad","■","◆"),"")</x:f>
      </x:c>
      <x:c r="Q17" s="83" t="str">
        <x:f>IF(AND(Q$6&gt;=$E17,Q$6&lt;=$F17),IF($D17="Actividad","■","◆"),"")</x:f>
      </x:c>
      <x:c r="R17" s="83" t="str">
        <x:f>IF(AND(R$6&gt;=$E17,R$6&lt;=$F17),IF($D17="Actividad","■","◆"),"")</x:f>
      </x:c>
      <x:c r="S17" s="83" t="str">
        <x:f>IF(AND(S$6&gt;=$E17,S$6&lt;=$F17),IF($D17="Actividad","■","◆"),"")</x:f>
      </x:c>
      <x:c r="T17" s="83" t="str">
        <x:f>IF(AND(T$6&gt;=$E17,T$6&lt;=$F17),IF($D17="Actividad","■","◆"),"")</x:f>
      </x:c>
      <x:c r="U17" s="83" t="str">
        <x:f>IF(AND(U$6&gt;=$E17,U$6&lt;=$F17),IF($D17="Actividad","■","◆"),"")</x:f>
      </x:c>
      <x:c r="V17" s="83" t="str">
        <x:f>IF(AND(V$6&gt;=$E17,V$6&lt;=$F17),IF($D17="Actividad","■","◆"),"")</x:f>
      </x:c>
      <x:c r="W17" s="83" t="str">
        <x:f>IF(AND(W$6&gt;=$E17,W$6&lt;=$F17),IF($D17="Actividad","■","◆"),"")</x:f>
      </x:c>
      <x:c r="X17" s="83" t="str">
        <x:f>IF(AND(X$6&gt;=$E17,X$6&lt;=$F17),IF($D17="Actividad","■","◆"),"")</x:f>
      </x:c>
      <x:c r="Y17" s="83" t="str">
        <x:f>IF(AND(Y$6&gt;=$E17,Y$6&lt;=$F17),IF($D17="Actividad","■","◆"),"")</x:f>
      </x:c>
    </x:row>
    <x:row r="18" ht="30" customHeight="1">
      <x:c r="A18" s="81" t="str">
        <x:f>'Plan de trabajo'!A15</x:f>
        <x:v>3.1</x:v>
      </x:c>
      <x:c r="B18" s="79" t="str">
        <x:f>'Plan de trabajo'!D15</x:f>
        <x:v>Implementación base de datos</x:v>
      </x:c>
      <x:c r="C18" s="79" t="str">
        <x:f>'Plan de trabajo'!J15</x:f>
        <x:v>Paulo / Tomás</x:v>
      </x:c>
      <x:c r="D18" s="83" t="str">
        <x:v>Actividad</x:v>
      </x:c>
      <x:c r="E18" s="83" t="n">
        <x:f>'Plan de trabajo'!G15</x:f>
        <x:v>7</x:v>
      </x:c>
      <x:c r="F18" s="83" t="n">
        <x:f>'Plan de trabajo'!H15</x:f>
        <x:v>8</x:v>
      </x:c>
      <x:c r="G18" s="83" t="n">
        <x:f>'Plan de trabajo'!I15</x:f>
        <x:v>2</x:v>
      </x:c>
      <x:c r="H18" s="83" t="str">
        <x:f>IF(AND(H$6&gt;=$E18,H$6&lt;=$F18),IF($D18="Actividad","■","◆"),"")</x:f>
      </x:c>
      <x:c r="I18" s="83" t="str">
        <x:f>IF(AND(I$6&gt;=$E18,I$6&lt;=$F18),IF($D18="Actividad","■","◆"),"")</x:f>
      </x:c>
      <x:c r="J18" s="83" t="str">
        <x:f>IF(AND(J$6&gt;=$E18,J$6&lt;=$F18),IF($D18="Actividad","■","◆"),"")</x:f>
      </x:c>
      <x:c r="K18" s="83" t="str">
        <x:f>IF(AND(K$6&gt;=$E18,K$6&lt;=$F18),IF($D18="Actividad","■","◆"),"")</x:f>
      </x:c>
      <x:c r="L18" s="83" t="str">
        <x:f>IF(AND(L$6&gt;=$E18,L$6&lt;=$F18),IF($D18="Actividad","■","◆"),"")</x:f>
      </x:c>
      <x:c r="M18" s="83" t="str">
        <x:f>IF(AND(M$6&gt;=$E18,M$6&lt;=$F18),IF($D18="Actividad","■","◆"),"")</x:f>
      </x:c>
      <x:c r="N18" s="83" t="str">
        <x:f>IF(AND(N$6&gt;=$E18,N$6&lt;=$F18),IF($D18="Actividad","■","◆"),"")</x:f>
        <x:v>■</x:v>
      </x:c>
      <x:c r="O18" s="83" t="str">
        <x:f>IF(AND(O$6&gt;=$E18,O$6&lt;=$F18),IF($D18="Actividad","■","◆"),"")</x:f>
        <x:v>■</x:v>
      </x:c>
      <x:c r="P18" s="83" t="str">
        <x:f>IF(AND(P$6&gt;=$E18,P$6&lt;=$F18),IF($D18="Actividad","■","◆"),"")</x:f>
      </x:c>
      <x:c r="Q18" s="83" t="str">
        <x:f>IF(AND(Q$6&gt;=$E18,Q$6&lt;=$F18),IF($D18="Actividad","■","◆"),"")</x:f>
      </x:c>
      <x:c r="R18" s="83" t="str">
        <x:f>IF(AND(R$6&gt;=$E18,R$6&lt;=$F18),IF($D18="Actividad","■","◆"),"")</x:f>
      </x:c>
      <x:c r="S18" s="83" t="str">
        <x:f>IF(AND(S$6&gt;=$E18,S$6&lt;=$F18),IF($D18="Actividad","■","◆"),"")</x:f>
      </x:c>
      <x:c r="T18" s="83" t="str">
        <x:f>IF(AND(T$6&gt;=$E18,T$6&lt;=$F18),IF($D18="Actividad","■","◆"),"")</x:f>
      </x:c>
      <x:c r="U18" s="83" t="str">
        <x:f>IF(AND(U$6&gt;=$E18,U$6&lt;=$F18),IF($D18="Actividad","■","◆"),"")</x:f>
      </x:c>
      <x:c r="V18" s="83" t="str">
        <x:f>IF(AND(V$6&gt;=$E18,V$6&lt;=$F18),IF($D18="Actividad","■","◆"),"")</x:f>
      </x:c>
      <x:c r="W18" s="83" t="str">
        <x:f>IF(AND(W$6&gt;=$E18,W$6&lt;=$F18),IF($D18="Actividad","■","◆"),"")</x:f>
      </x:c>
      <x:c r="X18" s="83" t="str">
        <x:f>IF(AND(X$6&gt;=$E18,X$6&lt;=$F18),IF($D18="Actividad","■","◆"),"")</x:f>
      </x:c>
      <x:c r="Y18" s="83" t="str">
        <x:f>IF(AND(Y$6&gt;=$E18,Y$6&lt;=$F18),IF($D18="Actividad","■","◆"),"")</x:f>
      </x:c>
    </x:row>
    <x:row r="19" ht="30" customHeight="1">
      <x:c r="A19" s="85" t="str">
        <x:f>'Plan de trabajo'!A16</x:f>
        <x:v>3.2</x:v>
      </x:c>
      <x:c r="B19" s="86" t="str">
        <x:f>'Plan de trabajo'!D16</x:f>
        <x:v>Backend Core y API</x:v>
      </x:c>
      <x:c r="C19" s="86" t="str">
        <x:f>'Plan de trabajo'!J16</x:f>
        <x:v>Tomás Escalante</x:v>
      </x:c>
      <x:c r="D19" s="87" t="str">
        <x:v>Actividad</x:v>
      </x:c>
      <x:c r="E19" s="87" t="n">
        <x:f>'Plan de trabajo'!G16</x:f>
        <x:v>7</x:v>
      </x:c>
      <x:c r="F19" s="87" t="n">
        <x:f>'Plan de trabajo'!H16</x:f>
        <x:v>9</x:v>
      </x:c>
      <x:c r="G19" s="87" t="n">
        <x:f>'Plan de trabajo'!I16</x:f>
        <x:v>3</x:v>
      </x:c>
      <x:c r="H19" s="83" t="str">
        <x:f>IF(AND(H$6&gt;=$E19,H$6&lt;=$F19),IF($D19="Actividad","■","◆"),"")</x:f>
      </x:c>
      <x:c r="I19" s="83" t="str">
        <x:f>IF(AND(I$6&gt;=$E19,I$6&lt;=$F19),IF($D19="Actividad","■","◆"),"")</x:f>
      </x:c>
      <x:c r="J19" s="83" t="str">
        <x:f>IF(AND(J$6&gt;=$E19,J$6&lt;=$F19),IF($D19="Actividad","■","◆"),"")</x:f>
      </x:c>
      <x:c r="K19" s="83" t="str">
        <x:f>IF(AND(K$6&gt;=$E19,K$6&lt;=$F19),IF($D19="Actividad","■","◆"),"")</x:f>
      </x:c>
      <x:c r="L19" s="83" t="str">
        <x:f>IF(AND(L$6&gt;=$E19,L$6&lt;=$F19),IF($D19="Actividad","■","◆"),"")</x:f>
      </x:c>
      <x:c r="M19" s="83" t="str">
        <x:f>IF(AND(M$6&gt;=$E19,M$6&lt;=$F19),IF($D19="Actividad","■","◆"),"")</x:f>
      </x:c>
      <x:c r="N19" s="83" t="str">
        <x:f>IF(AND(N$6&gt;=$E19,N$6&lt;=$F19),IF($D19="Actividad","■","◆"),"")</x:f>
        <x:v>■</x:v>
      </x:c>
      <x:c r="O19" s="83" t="str">
        <x:f>IF(AND(O$6&gt;=$E19,O$6&lt;=$F19),IF($D19="Actividad","■","◆"),"")</x:f>
        <x:v>■</x:v>
      </x:c>
      <x:c r="P19" s="83" t="str">
        <x:f>IF(AND(P$6&gt;=$E19,P$6&lt;=$F19),IF($D19="Actividad","■","◆"),"")</x:f>
        <x:v>■</x:v>
      </x:c>
      <x:c r="Q19" s="83" t="str">
        <x:f>IF(AND(Q$6&gt;=$E19,Q$6&lt;=$F19),IF($D19="Actividad","■","◆"),"")</x:f>
      </x:c>
      <x:c r="R19" s="83" t="str">
        <x:f>IF(AND(R$6&gt;=$E19,R$6&lt;=$F19),IF($D19="Actividad","■","◆"),"")</x:f>
      </x:c>
      <x:c r="S19" s="83" t="str">
        <x:f>IF(AND(S$6&gt;=$E19,S$6&lt;=$F19),IF($D19="Actividad","■","◆"),"")</x:f>
      </x:c>
      <x:c r="T19" s="83" t="str">
        <x:f>IF(AND(T$6&gt;=$E19,T$6&lt;=$F19),IF($D19="Actividad","■","◆"),"")</x:f>
      </x:c>
      <x:c r="U19" s="83" t="str">
        <x:f>IF(AND(U$6&gt;=$E19,U$6&lt;=$F19),IF($D19="Actividad","■","◆"),"")</x:f>
      </x:c>
      <x:c r="V19" s="83" t="str">
        <x:f>IF(AND(V$6&gt;=$E19,V$6&lt;=$F19),IF($D19="Actividad","■","◆"),"")</x:f>
      </x:c>
      <x:c r="W19" s="83" t="str">
        <x:f>IF(AND(W$6&gt;=$E19,W$6&lt;=$F19),IF($D19="Actividad","■","◆"),"")</x:f>
      </x:c>
      <x:c r="X19" s="83" t="str">
        <x:f>IF(AND(X$6&gt;=$E19,X$6&lt;=$F19),IF($D19="Actividad","■","◆"),"")</x:f>
      </x:c>
      <x:c r="Y19" s="83" t="str">
        <x:f>IF(AND(Y$6&gt;=$E19,Y$6&lt;=$F19),IF($D19="Actividad","■","◆"),"")</x:f>
      </x:c>
    </x:row>
    <x:row r="20" ht="30" customHeight="1">
      <x:c r="A20" s="81" t="str">
        <x:f>'Plan de trabajo'!A17</x:f>
        <x:v>3.3</x:v>
      </x:c>
      <x:c r="B20" s="79" t="str">
        <x:f>'Plan de trabajo'!D17</x:f>
        <x:v>Panel administrativo</x:v>
      </x:c>
      <x:c r="C20" s="79" t="str">
        <x:f>'Plan de trabajo'!J17</x:f>
        <x:v>Paulo Loyola</x:v>
      </x:c>
      <x:c r="D20" s="83" t="str">
        <x:v>Actividad</x:v>
      </x:c>
      <x:c r="E20" s="83" t="n">
        <x:f>'Plan de trabajo'!G17</x:f>
        <x:v>8</x:v>
      </x:c>
      <x:c r="F20" s="83" t="n">
        <x:f>'Plan de trabajo'!H17</x:f>
        <x:v>10</x:v>
      </x:c>
      <x:c r="G20" s="83" t="n">
        <x:f>'Plan de trabajo'!I17</x:f>
        <x:v>3</x:v>
      </x:c>
      <x:c r="H20" s="83" t="str">
        <x:f>IF(AND(H$6&gt;=$E20,H$6&lt;=$F20),IF($D20="Actividad","■","◆"),"")</x:f>
      </x:c>
      <x:c r="I20" s="83" t="str">
        <x:f>IF(AND(I$6&gt;=$E20,I$6&lt;=$F20),IF($D20="Actividad","■","◆"),"")</x:f>
      </x:c>
      <x:c r="J20" s="83" t="str">
        <x:f>IF(AND(J$6&gt;=$E20,J$6&lt;=$F20),IF($D20="Actividad","■","◆"),"")</x:f>
      </x:c>
      <x:c r="K20" s="83" t="str">
        <x:f>IF(AND(K$6&gt;=$E20,K$6&lt;=$F20),IF($D20="Actividad","■","◆"),"")</x:f>
      </x:c>
      <x:c r="L20" s="83" t="str">
        <x:f>IF(AND(L$6&gt;=$E20,L$6&lt;=$F20),IF($D20="Actividad","■","◆"),"")</x:f>
      </x:c>
      <x:c r="M20" s="83" t="str">
        <x:f>IF(AND(M$6&gt;=$E20,M$6&lt;=$F20),IF($D20="Actividad","■","◆"),"")</x:f>
      </x:c>
      <x:c r="N20" s="83" t="str">
        <x:f>IF(AND(N$6&gt;=$E20,N$6&lt;=$F20),IF($D20="Actividad","■","◆"),"")</x:f>
      </x:c>
      <x:c r="O20" s="83" t="str">
        <x:f>IF(AND(O$6&gt;=$E20,O$6&lt;=$F20),IF($D20="Actividad","■","◆"),"")</x:f>
        <x:v>■</x:v>
      </x:c>
      <x:c r="P20" s="83" t="str">
        <x:f>IF(AND(P$6&gt;=$E20,P$6&lt;=$F20),IF($D20="Actividad","■","◆"),"")</x:f>
        <x:v>■</x:v>
      </x:c>
      <x:c r="Q20" s="83" t="str">
        <x:f>IF(AND(Q$6&gt;=$E20,Q$6&lt;=$F20),IF($D20="Actividad","■","◆"),"")</x:f>
        <x:v>■</x:v>
      </x:c>
      <x:c r="R20" s="83" t="str">
        <x:f>IF(AND(R$6&gt;=$E20,R$6&lt;=$F20),IF($D20="Actividad","■","◆"),"")</x:f>
      </x:c>
      <x:c r="S20" s="83" t="str">
        <x:f>IF(AND(S$6&gt;=$E20,S$6&lt;=$F20),IF($D20="Actividad","■","◆"),"")</x:f>
      </x:c>
      <x:c r="T20" s="83" t="str">
        <x:f>IF(AND(T$6&gt;=$E20,T$6&lt;=$F20),IF($D20="Actividad","■","◆"),"")</x:f>
      </x:c>
      <x:c r="U20" s="83" t="str">
        <x:f>IF(AND(U$6&gt;=$E20,U$6&lt;=$F20),IF($D20="Actividad","■","◆"),"")</x:f>
      </x:c>
      <x:c r="V20" s="83" t="str">
        <x:f>IF(AND(V$6&gt;=$E20,V$6&lt;=$F20),IF($D20="Actividad","■","◆"),"")</x:f>
      </x:c>
      <x:c r="W20" s="83" t="str">
        <x:f>IF(AND(W$6&gt;=$E20,W$6&lt;=$F20),IF($D20="Actividad","■","◆"),"")</x:f>
      </x:c>
      <x:c r="X20" s="83" t="str">
        <x:f>IF(AND(X$6&gt;=$E20,X$6&lt;=$F20),IF($D20="Actividad","■","◆"),"")</x:f>
      </x:c>
      <x:c r="Y20" s="83" t="str">
        <x:f>IF(AND(Y$6&gt;=$E20,Y$6&lt;=$F20),IF($D20="Actividad","■","◆"),"")</x:f>
      </x:c>
    </x:row>
    <x:row r="21" ht="30" customHeight="1">
      <x:c r="A21" s="85" t="str">
        <x:f>'Plan de trabajo'!A18</x:f>
        <x:v>3.4</x:v>
      </x:c>
      <x:c r="B21" s="86" t="str">
        <x:f>'Plan de trabajo'!D18</x:f>
        <x:v>Player multimedia base</x:v>
      </x:c>
      <x:c r="C21" s="86" t="str">
        <x:f>'Plan de trabajo'!J18</x:f>
        <x:v>Matías / Tomás</x:v>
      </x:c>
      <x:c r="D21" s="87" t="str">
        <x:v>Actividad</x:v>
      </x:c>
      <x:c r="E21" s="87" t="n">
        <x:f>'Plan de trabajo'!G18</x:f>
        <x:v>8</x:v>
      </x:c>
      <x:c r="F21" s="87" t="n">
        <x:f>'Plan de trabajo'!H18</x:f>
        <x:v>10</x:v>
      </x:c>
      <x:c r="G21" s="87" t="n">
        <x:f>'Plan de trabajo'!I18</x:f>
        <x:v>3</x:v>
      </x:c>
      <x:c r="H21" s="83" t="str">
        <x:f>IF(AND(H$6&gt;=$E21,H$6&lt;=$F21),IF($D21="Actividad","■","◆"),"")</x:f>
      </x:c>
      <x:c r="I21" s="83" t="str">
        <x:f>IF(AND(I$6&gt;=$E21,I$6&lt;=$F21),IF($D21="Actividad","■","◆"),"")</x:f>
      </x:c>
      <x:c r="J21" s="83" t="str">
        <x:f>IF(AND(J$6&gt;=$E21,J$6&lt;=$F21),IF($D21="Actividad","■","◆"),"")</x:f>
      </x:c>
      <x:c r="K21" s="83" t="str">
        <x:f>IF(AND(K$6&gt;=$E21,K$6&lt;=$F21),IF($D21="Actividad","■","◆"),"")</x:f>
      </x:c>
      <x:c r="L21" s="83" t="str">
        <x:f>IF(AND(L$6&gt;=$E21,L$6&lt;=$F21),IF($D21="Actividad","■","◆"),"")</x:f>
      </x:c>
      <x:c r="M21" s="83" t="str">
        <x:f>IF(AND(M$6&gt;=$E21,M$6&lt;=$F21),IF($D21="Actividad","■","◆"),"")</x:f>
      </x:c>
      <x:c r="N21" s="83" t="str">
        <x:f>IF(AND(N$6&gt;=$E21,N$6&lt;=$F21),IF($D21="Actividad","■","◆"),"")</x:f>
      </x:c>
      <x:c r="O21" s="83" t="str">
        <x:f>IF(AND(O$6&gt;=$E21,O$6&lt;=$F21),IF($D21="Actividad","■","◆"),"")</x:f>
        <x:v>■</x:v>
      </x:c>
      <x:c r="P21" s="83" t="str">
        <x:f>IF(AND(P$6&gt;=$E21,P$6&lt;=$F21),IF($D21="Actividad","■","◆"),"")</x:f>
        <x:v>■</x:v>
      </x:c>
      <x:c r="Q21" s="83" t="str">
        <x:f>IF(AND(Q$6&gt;=$E21,Q$6&lt;=$F21),IF($D21="Actividad","■","◆"),"")</x:f>
        <x:v>■</x:v>
      </x:c>
      <x:c r="R21" s="83" t="str">
        <x:f>IF(AND(R$6&gt;=$E21,R$6&lt;=$F21),IF($D21="Actividad","■","◆"),"")</x:f>
      </x:c>
      <x:c r="S21" s="83" t="str">
        <x:f>IF(AND(S$6&gt;=$E21,S$6&lt;=$F21),IF($D21="Actividad","■","◆"),"")</x:f>
      </x:c>
      <x:c r="T21" s="83" t="str">
        <x:f>IF(AND(T$6&gt;=$E21,T$6&lt;=$F21),IF($D21="Actividad","■","◆"),"")</x:f>
      </x:c>
      <x:c r="U21" s="83" t="str">
        <x:f>IF(AND(U$6&gt;=$E21,U$6&lt;=$F21),IF($D21="Actividad","■","◆"),"")</x:f>
      </x:c>
      <x:c r="V21" s="83" t="str">
        <x:f>IF(AND(V$6&gt;=$E21,V$6&lt;=$F21),IF($D21="Actividad","■","◆"),"")</x:f>
      </x:c>
      <x:c r="W21" s="83" t="str">
        <x:f>IF(AND(W$6&gt;=$E21,W$6&lt;=$F21),IF($D21="Actividad","■","◆"),"")</x:f>
      </x:c>
      <x:c r="X21" s="83" t="str">
        <x:f>IF(AND(X$6&gt;=$E21,X$6&lt;=$F21),IF($D21="Actividad","■","◆"),"")</x:f>
      </x:c>
      <x:c r="Y21" s="83" t="str">
        <x:f>IF(AND(Y$6&gt;=$E21,Y$6&lt;=$F21),IF($D21="Actividad","■","◆"),"")</x:f>
      </x:c>
    </x:row>
    <x:row r="22" ht="26" customHeight="1">
      <x:c r="A22" s="96" t="str">
        <x:v>C2</x:v>
      </x:c>
      <x:c r="B22" s="96" t="str">
        <x:v>Compatibilidad NUC, Player y caché</x:v>
      </x:c>
      <x:c r="C22" s="96" t="str">
        <x:v>Equipo</x:v>
      </x:c>
      <x:c r="D22" s="97" t="str">
        <x:v>Checkpoint</x:v>
      </x:c>
      <x:c r="E22" s="97" t="n">
        <x:v>8</x:v>
      </x:c>
      <x:c r="F22" s="97" t="n">
        <x:v>8</x:v>
      </x:c>
      <x:c r="G22" s="97" t="n">
        <x:v>1</x:v>
      </x:c>
      <x:c r="H22" s="83" t="str">
        <x:f>IF(AND(H$6&gt;=$E22,H$6&lt;=$F22),IF($D22="Actividad","■","◆"),"")</x:f>
      </x:c>
      <x:c r="I22" s="83" t="str">
        <x:f>IF(AND(I$6&gt;=$E22,I$6&lt;=$F22),IF($D22="Actividad","■","◆"),"")</x:f>
      </x:c>
      <x:c r="J22" s="83" t="str">
        <x:f>IF(AND(J$6&gt;=$E22,J$6&lt;=$F22),IF($D22="Actividad","■","◆"),"")</x:f>
      </x:c>
      <x:c r="K22" s="83" t="str">
        <x:f>IF(AND(K$6&gt;=$E22,K$6&lt;=$F22),IF($D22="Actividad","■","◆"),"")</x:f>
      </x:c>
      <x:c r="L22" s="83" t="str">
        <x:f>IF(AND(L$6&gt;=$E22,L$6&lt;=$F22),IF($D22="Actividad","■","◆"),"")</x:f>
      </x:c>
      <x:c r="M22" s="83" t="str">
        <x:f>IF(AND(M$6&gt;=$E22,M$6&lt;=$F22),IF($D22="Actividad","■","◆"),"")</x:f>
      </x:c>
      <x:c r="N22" s="83" t="str">
        <x:f>IF(AND(N$6&gt;=$E22,N$6&lt;=$F22),IF($D22="Actividad","■","◆"),"")</x:f>
      </x:c>
      <x:c r="O22" s="83" t="str">
        <x:f>IF(AND(O$6&gt;=$E22,O$6&lt;=$F22),IF($D22="Actividad","■","◆"),"")</x:f>
        <x:v>◆</x:v>
      </x:c>
      <x:c r="P22" s="83" t="str">
        <x:f>IF(AND(P$6&gt;=$E22,P$6&lt;=$F22),IF($D22="Actividad","■","◆"),"")</x:f>
      </x:c>
      <x:c r="Q22" s="83" t="str">
        <x:f>IF(AND(Q$6&gt;=$E22,Q$6&lt;=$F22),IF($D22="Actividad","■","◆"),"")</x:f>
      </x:c>
      <x:c r="R22" s="83" t="str">
        <x:f>IF(AND(R$6&gt;=$E22,R$6&lt;=$F22),IF($D22="Actividad","■","◆"),"")</x:f>
      </x:c>
      <x:c r="S22" s="83" t="str">
        <x:f>IF(AND(S$6&gt;=$E22,S$6&lt;=$F22),IF($D22="Actividad","■","◆"),"")</x:f>
      </x:c>
      <x:c r="T22" s="83" t="str">
        <x:f>IF(AND(T$6&gt;=$E22,T$6&lt;=$F22),IF($D22="Actividad","■","◆"),"")</x:f>
      </x:c>
      <x:c r="U22" s="83" t="str">
        <x:f>IF(AND(U$6&gt;=$E22,U$6&lt;=$F22),IF($D22="Actividad","■","◆"),"")</x:f>
      </x:c>
      <x:c r="V22" s="83" t="str">
        <x:f>IF(AND(V$6&gt;=$E22,V$6&lt;=$F22),IF($D22="Actividad","■","◆"),"")</x:f>
      </x:c>
      <x:c r="W22" s="83" t="str">
        <x:f>IF(AND(W$6&gt;=$E22,W$6&lt;=$F22),IF($D22="Actividad","■","◆"),"")</x:f>
      </x:c>
      <x:c r="X22" s="83" t="str">
        <x:f>IF(AND(X$6&gt;=$E22,X$6&lt;=$F22),IF($D22="Actividad","■","◆"),"")</x:f>
      </x:c>
      <x:c r="Y22" s="83" t="str">
        <x:f>IF(AND(Y$6&gt;=$E22,Y$6&lt;=$F22),IF($D22="Actividad","■","◆"),"")</x:f>
      </x:c>
    </x:row>
    <x:row r="23" ht="30" customHeight="1">
      <x:c r="A23" s="85" t="str">
        <x:f>'Plan de trabajo'!A19</x:f>
        <x:v>3.5</x:v>
      </x:c>
      <x:c r="B23" s="86" t="str">
        <x:f>'Plan de trabajo'!D19</x:f>
        <x:v>Integración y validación de avance</x:v>
      </x:c>
      <x:c r="C23" s="86" t="str">
        <x:f>'Plan de trabajo'!J19</x:f>
        <x:v>Matías / Equipo</x:v>
      </x:c>
      <x:c r="D23" s="87" t="str">
        <x:v>Actividad</x:v>
      </x:c>
      <x:c r="E23" s="87" t="n">
        <x:f>'Plan de trabajo'!G19</x:f>
        <x:v>9</x:v>
      </x:c>
      <x:c r="F23" s="87" t="n">
        <x:f>'Plan de trabajo'!H19</x:f>
        <x:v>10</x:v>
      </x:c>
      <x:c r="G23" s="87" t="n">
        <x:f>'Plan de trabajo'!I19</x:f>
        <x:v>2</x:v>
      </x:c>
      <x:c r="H23" s="83" t="str">
        <x:f>IF(AND(H$6&gt;=$E23,H$6&lt;=$F23),IF($D23="Actividad","■","◆"),"")</x:f>
      </x:c>
      <x:c r="I23" s="83" t="str">
        <x:f>IF(AND(I$6&gt;=$E23,I$6&lt;=$F23),IF($D23="Actividad","■","◆"),"")</x:f>
      </x:c>
      <x:c r="J23" s="83" t="str">
        <x:f>IF(AND(J$6&gt;=$E23,J$6&lt;=$F23),IF($D23="Actividad","■","◆"),"")</x:f>
      </x:c>
      <x:c r="K23" s="83" t="str">
        <x:f>IF(AND(K$6&gt;=$E23,K$6&lt;=$F23),IF($D23="Actividad","■","◆"),"")</x:f>
      </x:c>
      <x:c r="L23" s="83" t="str">
        <x:f>IF(AND(L$6&gt;=$E23,L$6&lt;=$F23),IF($D23="Actividad","■","◆"),"")</x:f>
      </x:c>
      <x:c r="M23" s="83" t="str">
        <x:f>IF(AND(M$6&gt;=$E23,M$6&lt;=$F23),IF($D23="Actividad","■","◆"),"")</x:f>
      </x:c>
      <x:c r="N23" s="83" t="str">
        <x:f>IF(AND(N$6&gt;=$E23,N$6&lt;=$F23),IF($D23="Actividad","■","◆"),"")</x:f>
      </x:c>
      <x:c r="O23" s="83" t="str">
        <x:f>IF(AND(O$6&gt;=$E23,O$6&lt;=$F23),IF($D23="Actividad","■","◆"),"")</x:f>
      </x:c>
      <x:c r="P23" s="83" t="str">
        <x:f>IF(AND(P$6&gt;=$E23,P$6&lt;=$F23),IF($D23="Actividad","■","◆"),"")</x:f>
        <x:v>■</x:v>
      </x:c>
      <x:c r="Q23" s="83" t="str">
        <x:f>IF(AND(Q$6&gt;=$E23,Q$6&lt;=$F23),IF($D23="Actividad","■","◆"),"")</x:f>
        <x:v>■</x:v>
      </x:c>
      <x:c r="R23" s="83" t="str">
        <x:f>IF(AND(R$6&gt;=$E23,R$6&lt;=$F23),IF($D23="Actividad","■","◆"),"")</x:f>
      </x:c>
      <x:c r="S23" s="83" t="str">
        <x:f>IF(AND(S$6&gt;=$E23,S$6&lt;=$F23),IF($D23="Actividad","■","◆"),"")</x:f>
      </x:c>
      <x:c r="T23" s="83" t="str">
        <x:f>IF(AND(T$6&gt;=$E23,T$6&lt;=$F23),IF($D23="Actividad","■","◆"),"")</x:f>
      </x:c>
      <x:c r="U23" s="83" t="str">
        <x:f>IF(AND(U$6&gt;=$E23,U$6&lt;=$F23),IF($D23="Actividad","■","◆"),"")</x:f>
      </x:c>
      <x:c r="V23" s="83" t="str">
        <x:f>IF(AND(V$6&gt;=$E23,V$6&lt;=$F23),IF($D23="Actividad","■","◆"),"")</x:f>
      </x:c>
      <x:c r="W23" s="83" t="str">
        <x:f>IF(AND(W$6&gt;=$E23,W$6&lt;=$F23),IF($D23="Actividad","■","◆"),"")</x:f>
      </x:c>
      <x:c r="X23" s="83" t="str">
        <x:f>IF(AND(X$6&gt;=$E23,X$6&lt;=$F23),IF($D23="Actividad","■","◆"),"")</x:f>
      </x:c>
      <x:c r="Y23" s="83" t="str">
        <x:f>IF(AND(Y$6&gt;=$E23,Y$6&lt;=$F23),IF($D23="Actividad","■","◆"),"")</x:f>
      </x:c>
    </x:row>
    <x:row r="24" ht="26" customHeight="1">
      <x:c r="A24" s="91" t="str">
        <x:v>H2</x:v>
      </x:c>
      <x:c r="B24" s="91" t="str">
        <x:v>Entrega de avance funcional</x:v>
      </x:c>
      <x:c r="C24" s="91" t="str">
        <x:v>Equipo</x:v>
      </x:c>
      <x:c r="D24" s="92" t="str">
        <x:v>Hito</x:v>
      </x:c>
      <x:c r="E24" s="92" t="n">
        <x:v>10</x:v>
      </x:c>
      <x:c r="F24" s="92" t="n">
        <x:v>10</x:v>
      </x:c>
      <x:c r="G24" s="92" t="n">
        <x:v>1</x:v>
      </x:c>
      <x:c r="H24" s="83" t="str">
        <x:f>IF(AND(H$6&gt;=$E24,H$6&lt;=$F24),IF($D24="Actividad","■","◆"),"")</x:f>
      </x:c>
      <x:c r="I24" s="83" t="str">
        <x:f>IF(AND(I$6&gt;=$E24,I$6&lt;=$F24),IF($D24="Actividad","■","◆"),"")</x:f>
      </x:c>
      <x:c r="J24" s="83" t="str">
        <x:f>IF(AND(J$6&gt;=$E24,J$6&lt;=$F24),IF($D24="Actividad","■","◆"),"")</x:f>
      </x:c>
      <x:c r="K24" s="83" t="str">
        <x:f>IF(AND(K$6&gt;=$E24,K$6&lt;=$F24),IF($D24="Actividad","■","◆"),"")</x:f>
      </x:c>
      <x:c r="L24" s="83" t="str">
        <x:f>IF(AND(L$6&gt;=$E24,L$6&lt;=$F24),IF($D24="Actividad","■","◆"),"")</x:f>
      </x:c>
      <x:c r="M24" s="83" t="str">
        <x:f>IF(AND(M$6&gt;=$E24,M$6&lt;=$F24),IF($D24="Actividad","■","◆"),"")</x:f>
      </x:c>
      <x:c r="N24" s="83" t="str">
        <x:f>IF(AND(N$6&gt;=$E24,N$6&lt;=$F24),IF($D24="Actividad","■","◆"),"")</x:f>
      </x:c>
      <x:c r="O24" s="83" t="str">
        <x:f>IF(AND(O$6&gt;=$E24,O$6&lt;=$F24),IF($D24="Actividad","■","◆"),"")</x:f>
      </x:c>
      <x:c r="P24" s="83" t="str">
        <x:f>IF(AND(P$6&gt;=$E24,P$6&lt;=$F24),IF($D24="Actividad","■","◆"),"")</x:f>
      </x:c>
      <x:c r="Q24" s="83" t="str">
        <x:f>IF(AND(Q$6&gt;=$E24,Q$6&lt;=$F24),IF($D24="Actividad","■","◆"),"")</x:f>
        <x:v>◆</x:v>
      </x:c>
      <x:c r="R24" s="83" t="str">
        <x:f>IF(AND(R$6&gt;=$E24,R$6&lt;=$F24),IF($D24="Actividad","■","◆"),"")</x:f>
      </x:c>
      <x:c r="S24" s="83" t="str">
        <x:f>IF(AND(S$6&gt;=$E24,S$6&lt;=$F24),IF($D24="Actividad","■","◆"),"")</x:f>
      </x:c>
      <x:c r="T24" s="83" t="str">
        <x:f>IF(AND(T$6&gt;=$E24,T$6&lt;=$F24),IF($D24="Actividad","■","◆"),"")</x:f>
      </x:c>
      <x:c r="U24" s="83" t="str">
        <x:f>IF(AND(U$6&gt;=$E24,U$6&lt;=$F24),IF($D24="Actividad","■","◆"),"")</x:f>
      </x:c>
      <x:c r="V24" s="83" t="str">
        <x:f>IF(AND(V$6&gt;=$E24,V$6&lt;=$F24),IF($D24="Actividad","■","◆"),"")</x:f>
      </x:c>
      <x:c r="W24" s="83" t="str">
        <x:f>IF(AND(W$6&gt;=$E24,W$6&lt;=$F24),IF($D24="Actividad","■","◆"),"")</x:f>
      </x:c>
      <x:c r="X24" s="83" t="str">
        <x:f>IF(AND(X$6&gt;=$E24,X$6&lt;=$F24),IF($D24="Actividad","■","◆"),"")</x:f>
      </x:c>
      <x:c r="Y24" s="83" t="str">
        <x:f>IF(AND(Y$6&gt;=$E24,Y$6&lt;=$F24),IF($D24="Actividad","■","◆"),"")</x:f>
      </x:c>
    </x:row>
    <x:row r="25" ht="30" customHeight="1">
      <x:c r="A25" s="85" t="str">
        <x:f>'Plan de trabajo'!A20</x:f>
        <x:v>3.6</x:v>
      </x:c>
      <x:c r="B25" s="86" t="str">
        <x:f>'Plan de trabajo'!D20</x:f>
        <x:v>Revisión de feedback intermedio</x:v>
      </x:c>
      <x:c r="C25" s="86" t="str">
        <x:f>'Plan de trabajo'!J20</x:f>
        <x:v>Equipo</x:v>
      </x:c>
      <x:c r="D25" s="87" t="str">
        <x:v>Actividad</x:v>
      </x:c>
      <x:c r="E25" s="87" t="n">
        <x:f>'Plan de trabajo'!G20</x:f>
        <x:v>11</x:v>
      </x:c>
      <x:c r="F25" s="87" t="n">
        <x:f>'Plan de trabajo'!H20</x:f>
        <x:v>11</x:v>
      </x:c>
      <x:c r="G25" s="87" t="n">
        <x:f>'Plan de trabajo'!I20</x:f>
        <x:v>1</x:v>
      </x:c>
      <x:c r="H25" s="83" t="str">
        <x:f>IF(AND(H$6&gt;=$E25,H$6&lt;=$F25),IF($D25="Actividad","■","◆"),"")</x:f>
      </x:c>
      <x:c r="I25" s="83" t="str">
        <x:f>IF(AND(I$6&gt;=$E25,I$6&lt;=$F25),IF($D25="Actividad","■","◆"),"")</x:f>
      </x:c>
      <x:c r="J25" s="83" t="str">
        <x:f>IF(AND(J$6&gt;=$E25,J$6&lt;=$F25),IF($D25="Actividad","■","◆"),"")</x:f>
      </x:c>
      <x:c r="K25" s="83" t="str">
        <x:f>IF(AND(K$6&gt;=$E25,K$6&lt;=$F25),IF($D25="Actividad","■","◆"),"")</x:f>
      </x:c>
      <x:c r="L25" s="83" t="str">
        <x:f>IF(AND(L$6&gt;=$E25,L$6&lt;=$F25),IF($D25="Actividad","■","◆"),"")</x:f>
      </x:c>
      <x:c r="M25" s="83" t="str">
        <x:f>IF(AND(M$6&gt;=$E25,M$6&lt;=$F25),IF($D25="Actividad","■","◆"),"")</x:f>
      </x:c>
      <x:c r="N25" s="83" t="str">
        <x:f>IF(AND(N$6&gt;=$E25,N$6&lt;=$F25),IF($D25="Actividad","■","◆"),"")</x:f>
      </x:c>
      <x:c r="O25" s="83" t="str">
        <x:f>IF(AND(O$6&gt;=$E25,O$6&lt;=$F25),IF($D25="Actividad","■","◆"),"")</x:f>
      </x:c>
      <x:c r="P25" s="83" t="str">
        <x:f>IF(AND(P$6&gt;=$E25,P$6&lt;=$F25),IF($D25="Actividad","■","◆"),"")</x:f>
      </x:c>
      <x:c r="Q25" s="83" t="str">
        <x:f>IF(AND(Q$6&gt;=$E25,Q$6&lt;=$F25),IF($D25="Actividad","■","◆"),"")</x:f>
      </x:c>
      <x:c r="R25" s="83" t="str">
        <x:f>IF(AND(R$6&gt;=$E25,R$6&lt;=$F25),IF($D25="Actividad","■","◆"),"")</x:f>
        <x:v>■</x:v>
      </x:c>
      <x:c r="S25" s="83" t="str">
        <x:f>IF(AND(S$6&gt;=$E25,S$6&lt;=$F25),IF($D25="Actividad","■","◆"),"")</x:f>
      </x:c>
      <x:c r="T25" s="83" t="str">
        <x:f>IF(AND(T$6&gt;=$E25,T$6&lt;=$F25),IF($D25="Actividad","■","◆"),"")</x:f>
      </x:c>
      <x:c r="U25" s="83" t="str">
        <x:f>IF(AND(U$6&gt;=$E25,U$6&lt;=$F25),IF($D25="Actividad","■","◆"),"")</x:f>
      </x:c>
      <x:c r="V25" s="83" t="str">
        <x:f>IF(AND(V$6&gt;=$E25,V$6&lt;=$F25),IF($D25="Actividad","■","◆"),"")</x:f>
      </x:c>
      <x:c r="W25" s="83" t="str">
        <x:f>IF(AND(W$6&gt;=$E25,W$6&lt;=$F25),IF($D25="Actividad","■","◆"),"")</x:f>
      </x:c>
      <x:c r="X25" s="83" t="str">
        <x:f>IF(AND(X$6&gt;=$E25,X$6&lt;=$F25),IF($D25="Actividad","■","◆"),"")</x:f>
      </x:c>
      <x:c r="Y25" s="83" t="str">
        <x:f>IF(AND(Y$6&gt;=$E25,Y$6&lt;=$F25),IF($D25="Actividad","■","◆"),"")</x:f>
      </x:c>
    </x:row>
    <x:row r="26" ht="30" customHeight="1">
      <x:c r="A26" s="81" t="str">
        <x:f>'Plan de trabajo'!A21</x:f>
        <x:v>4.1</x:v>
      </x:c>
      <x:c r="B26" s="79" t="str">
        <x:f>'Plan de trabajo'!D21</x:f>
        <x:v>Programación horaria avanzada</x:v>
      </x:c>
      <x:c r="C26" s="79" t="str">
        <x:f>'Plan de trabajo'!J21</x:f>
        <x:v>Paulo / Tomás</x:v>
      </x:c>
      <x:c r="D26" s="83" t="str">
        <x:v>Actividad</x:v>
      </x:c>
      <x:c r="E26" s="83" t="n">
        <x:f>'Plan de trabajo'!G21</x:f>
        <x:v>12</x:v>
      </x:c>
      <x:c r="F26" s="83" t="n">
        <x:f>'Plan de trabajo'!H21</x:f>
        <x:v>13</x:v>
      </x:c>
      <x:c r="G26" s="83" t="n">
        <x:f>'Plan de trabajo'!I21</x:f>
        <x:v>2</x:v>
      </x:c>
      <x:c r="H26" s="83" t="str">
        <x:f>IF(AND(H$6&gt;=$E26,H$6&lt;=$F26),IF($D26="Actividad","■","◆"),"")</x:f>
      </x:c>
      <x:c r="I26" s="83" t="str">
        <x:f>IF(AND(I$6&gt;=$E26,I$6&lt;=$F26),IF($D26="Actividad","■","◆"),"")</x:f>
      </x:c>
      <x:c r="J26" s="83" t="str">
        <x:f>IF(AND(J$6&gt;=$E26,J$6&lt;=$F26),IF($D26="Actividad","■","◆"),"")</x:f>
      </x:c>
      <x:c r="K26" s="83" t="str">
        <x:f>IF(AND(K$6&gt;=$E26,K$6&lt;=$F26),IF($D26="Actividad","■","◆"),"")</x:f>
      </x:c>
      <x:c r="L26" s="83" t="str">
        <x:f>IF(AND(L$6&gt;=$E26,L$6&lt;=$F26),IF($D26="Actividad","■","◆"),"")</x:f>
      </x:c>
      <x:c r="M26" s="83" t="str">
        <x:f>IF(AND(M$6&gt;=$E26,M$6&lt;=$F26),IF($D26="Actividad","■","◆"),"")</x:f>
      </x:c>
      <x:c r="N26" s="83" t="str">
        <x:f>IF(AND(N$6&gt;=$E26,N$6&lt;=$F26),IF($D26="Actividad","■","◆"),"")</x:f>
      </x:c>
      <x:c r="O26" s="83" t="str">
        <x:f>IF(AND(O$6&gt;=$E26,O$6&lt;=$F26),IF($D26="Actividad","■","◆"),"")</x:f>
      </x:c>
      <x:c r="P26" s="83" t="str">
        <x:f>IF(AND(P$6&gt;=$E26,P$6&lt;=$F26),IF($D26="Actividad","■","◆"),"")</x:f>
      </x:c>
      <x:c r="Q26" s="83" t="str">
        <x:f>IF(AND(Q$6&gt;=$E26,Q$6&lt;=$F26),IF($D26="Actividad","■","◆"),"")</x:f>
      </x:c>
      <x:c r="R26" s="83" t="str">
        <x:f>IF(AND(R$6&gt;=$E26,R$6&lt;=$F26),IF($D26="Actividad","■","◆"),"")</x:f>
      </x:c>
      <x:c r="S26" s="83" t="str">
        <x:f>IF(AND(S$6&gt;=$E26,S$6&lt;=$F26),IF($D26="Actividad","■","◆"),"")</x:f>
        <x:v>■</x:v>
      </x:c>
      <x:c r="T26" s="83" t="str">
        <x:f>IF(AND(T$6&gt;=$E26,T$6&lt;=$F26),IF($D26="Actividad","■","◆"),"")</x:f>
        <x:v>■</x:v>
      </x:c>
      <x:c r="U26" s="83" t="str">
        <x:f>IF(AND(U$6&gt;=$E26,U$6&lt;=$F26),IF($D26="Actividad","■","◆"),"")</x:f>
      </x:c>
      <x:c r="V26" s="83" t="str">
        <x:f>IF(AND(V$6&gt;=$E26,V$6&lt;=$F26),IF($D26="Actividad","■","◆"),"")</x:f>
      </x:c>
      <x:c r="W26" s="83" t="str">
        <x:f>IF(AND(W$6&gt;=$E26,W$6&lt;=$F26),IF($D26="Actividad","■","◆"),"")</x:f>
      </x:c>
      <x:c r="X26" s="83" t="str">
        <x:f>IF(AND(X$6&gt;=$E26,X$6&lt;=$F26),IF($D26="Actividad","■","◆"),"")</x:f>
      </x:c>
      <x:c r="Y26" s="83" t="str">
        <x:f>IF(AND(Y$6&gt;=$E26,Y$6&lt;=$F26),IF($D26="Actividad","■","◆"),"")</x:f>
      </x:c>
    </x:row>
    <x:row r="27" ht="30" customHeight="1">
      <x:c r="A27" s="85" t="str">
        <x:f>'Plan de trabajo'!A22</x:f>
        <x:v>4.2</x:v>
      </x:c>
      <x:c r="B27" s="86" t="str">
        <x:f>'Plan de trabajo'!D22</x:f>
        <x:v>Resiliencia offline y caché local</x:v>
      </x:c>
      <x:c r="C27" s="86" t="str">
        <x:f>'Plan de trabajo'!J22</x:f>
        <x:v>Tomás / Matías</x:v>
      </x:c>
      <x:c r="D27" s="87" t="str">
        <x:v>Actividad</x:v>
      </x:c>
      <x:c r="E27" s="87" t="n">
        <x:f>'Plan de trabajo'!G22</x:f>
        <x:v>12</x:v>
      </x:c>
      <x:c r="F27" s="87" t="n">
        <x:f>'Plan de trabajo'!H22</x:f>
        <x:v>14</x:v>
      </x:c>
      <x:c r="G27" s="87" t="n">
        <x:f>'Plan de trabajo'!I22</x:f>
        <x:v>3</x:v>
      </x:c>
      <x:c r="H27" s="83" t="str">
        <x:f>IF(AND(H$6&gt;=$E27,H$6&lt;=$F27),IF($D27="Actividad","■","◆"),"")</x:f>
      </x:c>
      <x:c r="I27" s="83" t="str">
        <x:f>IF(AND(I$6&gt;=$E27,I$6&lt;=$F27),IF($D27="Actividad","■","◆"),"")</x:f>
      </x:c>
      <x:c r="J27" s="83" t="str">
        <x:f>IF(AND(J$6&gt;=$E27,J$6&lt;=$F27),IF($D27="Actividad","■","◆"),"")</x:f>
      </x:c>
      <x:c r="K27" s="83" t="str">
        <x:f>IF(AND(K$6&gt;=$E27,K$6&lt;=$F27),IF($D27="Actividad","■","◆"),"")</x:f>
      </x:c>
      <x:c r="L27" s="83" t="str">
        <x:f>IF(AND(L$6&gt;=$E27,L$6&lt;=$F27),IF($D27="Actividad","■","◆"),"")</x:f>
      </x:c>
      <x:c r="M27" s="83" t="str">
        <x:f>IF(AND(M$6&gt;=$E27,M$6&lt;=$F27),IF($D27="Actividad","■","◆"),"")</x:f>
      </x:c>
      <x:c r="N27" s="83" t="str">
        <x:f>IF(AND(N$6&gt;=$E27,N$6&lt;=$F27),IF($D27="Actividad","■","◆"),"")</x:f>
      </x:c>
      <x:c r="O27" s="83" t="str">
        <x:f>IF(AND(O$6&gt;=$E27,O$6&lt;=$F27),IF($D27="Actividad","■","◆"),"")</x:f>
      </x:c>
      <x:c r="P27" s="83" t="str">
        <x:f>IF(AND(P$6&gt;=$E27,P$6&lt;=$F27),IF($D27="Actividad","■","◆"),"")</x:f>
      </x:c>
      <x:c r="Q27" s="83" t="str">
        <x:f>IF(AND(Q$6&gt;=$E27,Q$6&lt;=$F27),IF($D27="Actividad","■","◆"),"")</x:f>
      </x:c>
      <x:c r="R27" s="83" t="str">
        <x:f>IF(AND(R$6&gt;=$E27,R$6&lt;=$F27),IF($D27="Actividad","■","◆"),"")</x:f>
      </x:c>
      <x:c r="S27" s="83" t="str">
        <x:f>IF(AND(S$6&gt;=$E27,S$6&lt;=$F27),IF($D27="Actividad","■","◆"),"")</x:f>
        <x:v>■</x:v>
      </x:c>
      <x:c r="T27" s="83" t="str">
        <x:f>IF(AND(T$6&gt;=$E27,T$6&lt;=$F27),IF($D27="Actividad","■","◆"),"")</x:f>
        <x:v>■</x:v>
      </x:c>
      <x:c r="U27" s="83" t="str">
        <x:f>IF(AND(U$6&gt;=$E27,U$6&lt;=$F27),IF($D27="Actividad","■","◆"),"")</x:f>
        <x:v>■</x:v>
      </x:c>
      <x:c r="V27" s="83" t="str">
        <x:f>IF(AND(V$6&gt;=$E27,V$6&lt;=$F27),IF($D27="Actividad","■","◆"),"")</x:f>
      </x:c>
      <x:c r="W27" s="83" t="str">
        <x:f>IF(AND(W$6&gt;=$E27,W$6&lt;=$F27),IF($D27="Actividad","■","◆"),"")</x:f>
      </x:c>
      <x:c r="X27" s="83" t="str">
        <x:f>IF(AND(X$6&gt;=$E27,X$6&lt;=$F27),IF($D27="Actividad","■","◆"),"")</x:f>
      </x:c>
      <x:c r="Y27" s="83" t="str">
        <x:f>IF(AND(Y$6&gt;=$E27,Y$6&lt;=$F27),IF($D27="Actividad","■","◆"),"")</x:f>
      </x:c>
    </x:row>
    <x:row r="28" ht="30" customHeight="1">
      <x:c r="A28" s="81" t="str">
        <x:f>'Plan de trabajo'!A23</x:f>
        <x:v>4.3</x:v>
      </x:c>
      <x:c r="B28" s="79" t="str">
        <x:f>'Plan de trabajo'!D23</x:f>
        <x:v>Sincronización y telemetría</x:v>
      </x:c>
      <x:c r="C28" s="79" t="str">
        <x:f>'Plan de trabajo'!J23</x:f>
        <x:v>Tomás / Paulo</x:v>
      </x:c>
      <x:c r="D28" s="83" t="str">
        <x:v>Actividad</x:v>
      </x:c>
      <x:c r="E28" s="83" t="n">
        <x:f>'Plan de trabajo'!G23</x:f>
        <x:v>13</x:v>
      </x:c>
      <x:c r="F28" s="83" t="n">
        <x:f>'Plan de trabajo'!H23</x:f>
        <x:v>14</x:v>
      </x:c>
      <x:c r="G28" s="83" t="n">
        <x:f>'Plan de trabajo'!I23</x:f>
        <x:v>2</x:v>
      </x:c>
      <x:c r="H28" s="83" t="str">
        <x:f>IF(AND(H$6&gt;=$E28,H$6&lt;=$F28),IF($D28="Actividad","■","◆"),"")</x:f>
      </x:c>
      <x:c r="I28" s="83" t="str">
        <x:f>IF(AND(I$6&gt;=$E28,I$6&lt;=$F28),IF($D28="Actividad","■","◆"),"")</x:f>
      </x:c>
      <x:c r="J28" s="83" t="str">
        <x:f>IF(AND(J$6&gt;=$E28,J$6&lt;=$F28),IF($D28="Actividad","■","◆"),"")</x:f>
      </x:c>
      <x:c r="K28" s="83" t="str">
        <x:f>IF(AND(K$6&gt;=$E28,K$6&lt;=$F28),IF($D28="Actividad","■","◆"),"")</x:f>
      </x:c>
      <x:c r="L28" s="83" t="str">
        <x:f>IF(AND(L$6&gt;=$E28,L$6&lt;=$F28),IF($D28="Actividad","■","◆"),"")</x:f>
      </x:c>
      <x:c r="M28" s="83" t="str">
        <x:f>IF(AND(M$6&gt;=$E28,M$6&lt;=$F28),IF($D28="Actividad","■","◆"),"")</x:f>
      </x:c>
      <x:c r="N28" s="83" t="str">
        <x:f>IF(AND(N$6&gt;=$E28,N$6&lt;=$F28),IF($D28="Actividad","■","◆"),"")</x:f>
      </x:c>
      <x:c r="O28" s="83" t="str">
        <x:f>IF(AND(O$6&gt;=$E28,O$6&lt;=$F28),IF($D28="Actividad","■","◆"),"")</x:f>
      </x:c>
      <x:c r="P28" s="83" t="str">
        <x:f>IF(AND(P$6&gt;=$E28,P$6&lt;=$F28),IF($D28="Actividad","■","◆"),"")</x:f>
      </x:c>
      <x:c r="Q28" s="83" t="str">
        <x:f>IF(AND(Q$6&gt;=$E28,Q$6&lt;=$F28),IF($D28="Actividad","■","◆"),"")</x:f>
      </x:c>
      <x:c r="R28" s="83" t="str">
        <x:f>IF(AND(R$6&gt;=$E28,R$6&lt;=$F28),IF($D28="Actividad","■","◆"),"")</x:f>
      </x:c>
      <x:c r="S28" s="83" t="str">
        <x:f>IF(AND(S$6&gt;=$E28,S$6&lt;=$F28),IF($D28="Actividad","■","◆"),"")</x:f>
      </x:c>
      <x:c r="T28" s="83" t="str">
        <x:f>IF(AND(T$6&gt;=$E28,T$6&lt;=$F28),IF($D28="Actividad","■","◆"),"")</x:f>
        <x:v>■</x:v>
      </x:c>
      <x:c r="U28" s="83" t="str">
        <x:f>IF(AND(U$6&gt;=$E28,U$6&lt;=$F28),IF($D28="Actividad","■","◆"),"")</x:f>
        <x:v>■</x:v>
      </x:c>
      <x:c r="V28" s="83" t="str">
        <x:f>IF(AND(V$6&gt;=$E28,V$6&lt;=$F28),IF($D28="Actividad","■","◆"),"")</x:f>
      </x:c>
      <x:c r="W28" s="83" t="str">
        <x:f>IF(AND(W$6&gt;=$E28,W$6&lt;=$F28),IF($D28="Actividad","■","◆"),"")</x:f>
      </x:c>
      <x:c r="X28" s="83" t="str">
        <x:f>IF(AND(X$6&gt;=$E28,X$6&lt;=$F28),IF($D28="Actividad","■","◆"),"")</x:f>
      </x:c>
      <x:c r="Y28" s="83" t="str">
        <x:f>IF(AND(Y$6&gt;=$E28,Y$6&lt;=$F28),IF($D28="Actividad","■","◆"),"")</x:f>
      </x:c>
    </x:row>
    <x:row r="29" ht="30" customHeight="1">
      <x:c r="A29" s="85" t="str">
        <x:f>'Plan de trabajo'!A24</x:f>
        <x:v>4.4</x:v>
      </x:c>
      <x:c r="B29" s="86" t="str">
        <x:f>'Plan de trabajo'!D24</x:f>
        <x:v>Pruebas de tolerancia a fallos</x:v>
      </x:c>
      <x:c r="C29" s="86" t="str">
        <x:f>'Plan de trabajo'!J24</x:f>
        <x:v>Matías / Equipo</x:v>
      </x:c>
      <x:c r="D29" s="87" t="str">
        <x:v>Actividad</x:v>
      </x:c>
      <x:c r="E29" s="87" t="n">
        <x:f>'Plan de trabajo'!G24</x:f>
        <x:v>14</x:v>
      </x:c>
      <x:c r="F29" s="87" t="n">
        <x:f>'Plan de trabajo'!H24</x:f>
        <x:v>14</x:v>
      </x:c>
      <x:c r="G29" s="87" t="n">
        <x:f>'Plan de trabajo'!I24</x:f>
        <x:v>1</x:v>
      </x:c>
      <x:c r="H29" s="83" t="str">
        <x:f>IF(AND(H$6&gt;=$E29,H$6&lt;=$F29),IF($D29="Actividad","■","◆"),"")</x:f>
      </x:c>
      <x:c r="I29" s="83" t="str">
        <x:f>IF(AND(I$6&gt;=$E29,I$6&lt;=$F29),IF($D29="Actividad","■","◆"),"")</x:f>
      </x:c>
      <x:c r="J29" s="83" t="str">
        <x:f>IF(AND(J$6&gt;=$E29,J$6&lt;=$F29),IF($D29="Actividad","■","◆"),"")</x:f>
      </x:c>
      <x:c r="K29" s="83" t="str">
        <x:f>IF(AND(K$6&gt;=$E29,K$6&lt;=$F29),IF($D29="Actividad","■","◆"),"")</x:f>
      </x:c>
      <x:c r="L29" s="83" t="str">
        <x:f>IF(AND(L$6&gt;=$E29,L$6&lt;=$F29),IF($D29="Actividad","■","◆"),"")</x:f>
      </x:c>
      <x:c r="M29" s="83" t="str">
        <x:f>IF(AND(M$6&gt;=$E29,M$6&lt;=$F29),IF($D29="Actividad","■","◆"),"")</x:f>
      </x:c>
      <x:c r="N29" s="83" t="str">
        <x:f>IF(AND(N$6&gt;=$E29,N$6&lt;=$F29),IF($D29="Actividad","■","◆"),"")</x:f>
      </x:c>
      <x:c r="O29" s="83" t="str">
        <x:f>IF(AND(O$6&gt;=$E29,O$6&lt;=$F29),IF($D29="Actividad","■","◆"),"")</x:f>
      </x:c>
      <x:c r="P29" s="83" t="str">
        <x:f>IF(AND(P$6&gt;=$E29,P$6&lt;=$F29),IF($D29="Actividad","■","◆"),"")</x:f>
      </x:c>
      <x:c r="Q29" s="83" t="str">
        <x:f>IF(AND(Q$6&gt;=$E29,Q$6&lt;=$F29),IF($D29="Actividad","■","◆"),"")</x:f>
      </x:c>
      <x:c r="R29" s="83" t="str">
        <x:f>IF(AND(R$6&gt;=$E29,R$6&lt;=$F29),IF($D29="Actividad","■","◆"),"")</x:f>
      </x:c>
      <x:c r="S29" s="83" t="str">
        <x:f>IF(AND(S$6&gt;=$E29,S$6&lt;=$F29),IF($D29="Actividad","■","◆"),"")</x:f>
      </x:c>
      <x:c r="T29" s="83" t="str">
        <x:f>IF(AND(T$6&gt;=$E29,T$6&lt;=$F29),IF($D29="Actividad","■","◆"),"")</x:f>
      </x:c>
      <x:c r="U29" s="83" t="str">
        <x:f>IF(AND(U$6&gt;=$E29,U$6&lt;=$F29),IF($D29="Actividad","■","◆"),"")</x:f>
        <x:v>■</x:v>
      </x:c>
      <x:c r="V29" s="83" t="str">
        <x:f>IF(AND(V$6&gt;=$E29,V$6&lt;=$F29),IF($D29="Actividad","■","◆"),"")</x:f>
      </x:c>
      <x:c r="W29" s="83" t="str">
        <x:f>IF(AND(W$6&gt;=$E29,W$6&lt;=$F29),IF($D29="Actividad","■","◆"),"")</x:f>
      </x:c>
      <x:c r="X29" s="83" t="str">
        <x:f>IF(AND(X$6&gt;=$E29,X$6&lt;=$F29),IF($D29="Actividad","■","◆"),"")</x:f>
      </x:c>
      <x:c r="Y29" s="83" t="str">
        <x:f>IF(AND(Y$6&gt;=$E29,Y$6&lt;=$F29),IF($D29="Actividad","■","◆"),"")</x:f>
      </x:c>
    </x:row>
    <x:row r="30" ht="30" customHeight="1">
      <x:c r="A30" s="81" t="str">
        <x:f>'Plan de trabajo'!A25</x:f>
        <x:v>5.1</x:v>
      </x:c>
      <x:c r="B30" s="79" t="str">
        <x:f>'Plan de trabajo'!D25</x:f>
        <x:v>Staging y hardware real</x:v>
      </x:c>
      <x:c r="C30" s="79" t="str">
        <x:f>'Plan de trabajo'!J25</x:f>
        <x:v>Matías / Tomás</x:v>
      </x:c>
      <x:c r="D30" s="83" t="str">
        <x:v>Actividad</x:v>
      </x:c>
      <x:c r="E30" s="83" t="n">
        <x:f>'Plan de trabajo'!G25</x:f>
        <x:v>14</x:v>
      </x:c>
      <x:c r="F30" s="83" t="n">
        <x:f>'Plan de trabajo'!H25</x:f>
        <x:v>15</x:v>
      </x:c>
      <x:c r="G30" s="83" t="n">
        <x:f>'Plan de trabajo'!I25</x:f>
        <x:v>2</x:v>
      </x:c>
      <x:c r="H30" s="83" t="str">
        <x:f>IF(AND(H$6&gt;=$E30,H$6&lt;=$F30),IF($D30="Actividad","■","◆"),"")</x:f>
      </x:c>
      <x:c r="I30" s="83" t="str">
        <x:f>IF(AND(I$6&gt;=$E30,I$6&lt;=$F30),IF($D30="Actividad","■","◆"),"")</x:f>
      </x:c>
      <x:c r="J30" s="83" t="str">
        <x:f>IF(AND(J$6&gt;=$E30,J$6&lt;=$F30),IF($D30="Actividad","■","◆"),"")</x:f>
      </x:c>
      <x:c r="K30" s="83" t="str">
        <x:f>IF(AND(K$6&gt;=$E30,K$6&lt;=$F30),IF($D30="Actividad","■","◆"),"")</x:f>
      </x:c>
      <x:c r="L30" s="83" t="str">
        <x:f>IF(AND(L$6&gt;=$E30,L$6&lt;=$F30),IF($D30="Actividad","■","◆"),"")</x:f>
      </x:c>
      <x:c r="M30" s="83" t="str">
        <x:f>IF(AND(M$6&gt;=$E30,M$6&lt;=$F30),IF($D30="Actividad","■","◆"),"")</x:f>
      </x:c>
      <x:c r="N30" s="83" t="str">
        <x:f>IF(AND(N$6&gt;=$E30,N$6&lt;=$F30),IF($D30="Actividad","■","◆"),"")</x:f>
      </x:c>
      <x:c r="O30" s="83" t="str">
        <x:f>IF(AND(O$6&gt;=$E30,O$6&lt;=$F30),IF($D30="Actividad","■","◆"),"")</x:f>
      </x:c>
      <x:c r="P30" s="83" t="str">
        <x:f>IF(AND(P$6&gt;=$E30,P$6&lt;=$F30),IF($D30="Actividad","■","◆"),"")</x:f>
      </x:c>
      <x:c r="Q30" s="83" t="str">
        <x:f>IF(AND(Q$6&gt;=$E30,Q$6&lt;=$F30),IF($D30="Actividad","■","◆"),"")</x:f>
      </x:c>
      <x:c r="R30" s="83" t="str">
        <x:f>IF(AND(R$6&gt;=$E30,R$6&lt;=$F30),IF($D30="Actividad","■","◆"),"")</x:f>
      </x:c>
      <x:c r="S30" s="83" t="str">
        <x:f>IF(AND(S$6&gt;=$E30,S$6&lt;=$F30),IF($D30="Actividad","■","◆"),"")</x:f>
      </x:c>
      <x:c r="T30" s="83" t="str">
        <x:f>IF(AND(T$6&gt;=$E30,T$6&lt;=$F30),IF($D30="Actividad","■","◆"),"")</x:f>
      </x:c>
      <x:c r="U30" s="83" t="str">
        <x:f>IF(AND(U$6&gt;=$E30,U$6&lt;=$F30),IF($D30="Actividad","■","◆"),"")</x:f>
        <x:v>■</x:v>
      </x:c>
      <x:c r="V30" s="83" t="str">
        <x:f>IF(AND(V$6&gt;=$E30,V$6&lt;=$F30),IF($D30="Actividad","■","◆"),"")</x:f>
        <x:v>■</x:v>
      </x:c>
      <x:c r="W30" s="83" t="str">
        <x:f>IF(AND(W$6&gt;=$E30,W$6&lt;=$F30),IF($D30="Actividad","■","◆"),"")</x:f>
      </x:c>
      <x:c r="X30" s="83" t="str">
        <x:f>IF(AND(X$6&gt;=$E30,X$6&lt;=$F30),IF($D30="Actividad","■","◆"),"")</x:f>
      </x:c>
      <x:c r="Y30" s="83" t="str">
        <x:f>IF(AND(Y$6&gt;=$E30,Y$6&lt;=$F30),IF($D30="Actividad","■","◆"),"")</x:f>
      </x:c>
    </x:row>
    <x:row r="31" ht="30" customHeight="1">
      <x:c r="A31" s="85" t="str">
        <x:f>'Plan de trabajo'!A26</x:f>
        <x:v>5.2</x:v>
      </x:c>
      <x:c r="B31" s="86" t="str">
        <x:f>'Plan de trabajo'!D26</x:f>
        <x:v>Informe final y manuales</x:v>
      </x:c>
      <x:c r="C31" s="86" t="str">
        <x:f>'Plan de trabajo'!J26</x:f>
        <x:v>Paulo / Equipo</x:v>
      </x:c>
      <x:c r="D31" s="87" t="str">
        <x:v>Actividad</x:v>
      </x:c>
      <x:c r="E31" s="87" t="n">
        <x:f>'Plan de trabajo'!G26</x:f>
        <x:v>14</x:v>
      </x:c>
      <x:c r="F31" s="87" t="n">
        <x:f>'Plan de trabajo'!H26</x:f>
        <x:v>15</x:v>
      </x:c>
      <x:c r="G31" s="87" t="n">
        <x:f>'Plan de trabajo'!I26</x:f>
        <x:v>2</x:v>
      </x:c>
      <x:c r="H31" s="83" t="str">
        <x:f>IF(AND(H$6&gt;=$E31,H$6&lt;=$F31),IF($D31="Actividad","■","◆"),"")</x:f>
      </x:c>
      <x:c r="I31" s="83" t="str">
        <x:f>IF(AND(I$6&gt;=$E31,I$6&lt;=$F31),IF($D31="Actividad","■","◆"),"")</x:f>
      </x:c>
      <x:c r="J31" s="83" t="str">
        <x:f>IF(AND(J$6&gt;=$E31,J$6&lt;=$F31),IF($D31="Actividad","■","◆"),"")</x:f>
      </x:c>
      <x:c r="K31" s="83" t="str">
        <x:f>IF(AND(K$6&gt;=$E31,K$6&lt;=$F31),IF($D31="Actividad","■","◆"),"")</x:f>
      </x:c>
      <x:c r="L31" s="83" t="str">
        <x:f>IF(AND(L$6&gt;=$E31,L$6&lt;=$F31),IF($D31="Actividad","■","◆"),"")</x:f>
      </x:c>
      <x:c r="M31" s="83" t="str">
        <x:f>IF(AND(M$6&gt;=$E31,M$6&lt;=$F31),IF($D31="Actividad","■","◆"),"")</x:f>
      </x:c>
      <x:c r="N31" s="83" t="str">
        <x:f>IF(AND(N$6&gt;=$E31,N$6&lt;=$F31),IF($D31="Actividad","■","◆"),"")</x:f>
      </x:c>
      <x:c r="O31" s="83" t="str">
        <x:f>IF(AND(O$6&gt;=$E31,O$6&lt;=$F31),IF($D31="Actividad","■","◆"),"")</x:f>
      </x:c>
      <x:c r="P31" s="83" t="str">
        <x:f>IF(AND(P$6&gt;=$E31,P$6&lt;=$F31),IF($D31="Actividad","■","◆"),"")</x:f>
      </x:c>
      <x:c r="Q31" s="83" t="str">
        <x:f>IF(AND(Q$6&gt;=$E31,Q$6&lt;=$F31),IF($D31="Actividad","■","◆"),"")</x:f>
      </x:c>
      <x:c r="R31" s="83" t="str">
        <x:f>IF(AND(R$6&gt;=$E31,R$6&lt;=$F31),IF($D31="Actividad","■","◆"),"")</x:f>
      </x:c>
      <x:c r="S31" s="83" t="str">
        <x:f>IF(AND(S$6&gt;=$E31,S$6&lt;=$F31),IF($D31="Actividad","■","◆"),"")</x:f>
      </x:c>
      <x:c r="T31" s="83" t="str">
        <x:f>IF(AND(T$6&gt;=$E31,T$6&lt;=$F31),IF($D31="Actividad","■","◆"),"")</x:f>
      </x:c>
      <x:c r="U31" s="83" t="str">
        <x:f>IF(AND(U$6&gt;=$E31,U$6&lt;=$F31),IF($D31="Actividad","■","◆"),"")</x:f>
        <x:v>■</x:v>
      </x:c>
      <x:c r="V31" s="83" t="str">
        <x:f>IF(AND(V$6&gt;=$E31,V$6&lt;=$F31),IF($D31="Actividad","■","◆"),"")</x:f>
        <x:v>■</x:v>
      </x:c>
      <x:c r="W31" s="83" t="str">
        <x:f>IF(AND(W$6&gt;=$E31,W$6&lt;=$F31),IF($D31="Actividad","■","◆"),"")</x:f>
      </x:c>
      <x:c r="X31" s="83" t="str">
        <x:f>IF(AND(X$6&gt;=$E31,X$6&lt;=$F31),IF($D31="Actividad","■","◆"),"")</x:f>
      </x:c>
      <x:c r="Y31" s="83" t="str">
        <x:f>IF(AND(Y$6&gt;=$E31,Y$6&lt;=$F31),IF($D31="Actividad","■","◆"),"")</x:f>
      </x:c>
    </x:row>
    <x:row r="32" ht="26" customHeight="1">
      <x:c r="A32" s="91" t="str">
        <x:v>H3</x:v>
      </x:c>
      <x:c r="B32" s="91" t="str">
        <x:v>Entrega final del proyecto</x:v>
      </x:c>
      <x:c r="C32" s="91" t="str">
        <x:v>Equipo</x:v>
      </x:c>
      <x:c r="D32" s="92" t="str">
        <x:v>Hito</x:v>
      </x:c>
      <x:c r="E32" s="92" t="n">
        <x:v>15</x:v>
      </x:c>
      <x:c r="F32" s="92" t="n">
        <x:v>15</x:v>
      </x:c>
      <x:c r="G32" s="92" t="n">
        <x:v>1</x:v>
      </x:c>
      <x:c r="H32" s="83" t="str">
        <x:f>IF(AND(H$6&gt;=$E32,H$6&lt;=$F32),IF($D32="Actividad","■","◆"),"")</x:f>
      </x:c>
      <x:c r="I32" s="83" t="str">
        <x:f>IF(AND(I$6&gt;=$E32,I$6&lt;=$F32),IF($D32="Actividad","■","◆"),"")</x:f>
      </x:c>
      <x:c r="J32" s="83" t="str">
        <x:f>IF(AND(J$6&gt;=$E32,J$6&lt;=$F32),IF($D32="Actividad","■","◆"),"")</x:f>
      </x:c>
      <x:c r="K32" s="83" t="str">
        <x:f>IF(AND(K$6&gt;=$E32,K$6&lt;=$F32),IF($D32="Actividad","■","◆"),"")</x:f>
      </x:c>
      <x:c r="L32" s="83" t="str">
        <x:f>IF(AND(L$6&gt;=$E32,L$6&lt;=$F32),IF($D32="Actividad","■","◆"),"")</x:f>
      </x:c>
      <x:c r="M32" s="83" t="str">
        <x:f>IF(AND(M$6&gt;=$E32,M$6&lt;=$F32),IF($D32="Actividad","■","◆"),"")</x:f>
      </x:c>
      <x:c r="N32" s="83" t="str">
        <x:f>IF(AND(N$6&gt;=$E32,N$6&lt;=$F32),IF($D32="Actividad","■","◆"),"")</x:f>
      </x:c>
      <x:c r="O32" s="83" t="str">
        <x:f>IF(AND(O$6&gt;=$E32,O$6&lt;=$F32),IF($D32="Actividad","■","◆"),"")</x:f>
      </x:c>
      <x:c r="P32" s="83" t="str">
        <x:f>IF(AND(P$6&gt;=$E32,P$6&lt;=$F32),IF($D32="Actividad","■","◆"),"")</x:f>
      </x:c>
      <x:c r="Q32" s="83" t="str">
        <x:f>IF(AND(Q$6&gt;=$E32,Q$6&lt;=$F32),IF($D32="Actividad","■","◆"),"")</x:f>
      </x:c>
      <x:c r="R32" s="83" t="str">
        <x:f>IF(AND(R$6&gt;=$E32,R$6&lt;=$F32),IF($D32="Actividad","■","◆"),"")</x:f>
      </x:c>
      <x:c r="S32" s="83" t="str">
        <x:f>IF(AND(S$6&gt;=$E32,S$6&lt;=$F32),IF($D32="Actividad","■","◆"),"")</x:f>
      </x:c>
      <x:c r="T32" s="83" t="str">
        <x:f>IF(AND(T$6&gt;=$E32,T$6&lt;=$F32),IF($D32="Actividad","■","◆"),"")</x:f>
      </x:c>
      <x:c r="U32" s="83" t="str">
        <x:f>IF(AND(U$6&gt;=$E32,U$6&lt;=$F32),IF($D32="Actividad","■","◆"),"")</x:f>
      </x:c>
      <x:c r="V32" s="83" t="str">
        <x:f>IF(AND(V$6&gt;=$E32,V$6&lt;=$F32),IF($D32="Actividad","■","◆"),"")</x:f>
        <x:v>◆</x:v>
      </x:c>
      <x:c r="W32" s="83" t="str">
        <x:f>IF(AND(W$6&gt;=$E32,W$6&lt;=$F32),IF($D32="Actividad","■","◆"),"")</x:f>
      </x:c>
      <x:c r="X32" s="83" t="str">
        <x:f>IF(AND(X$6&gt;=$E32,X$6&lt;=$F32),IF($D32="Actividad","■","◆"),"")</x:f>
      </x:c>
      <x:c r="Y32" s="83" t="str">
        <x:f>IF(AND(Y$6&gt;=$E32,Y$6&lt;=$F32),IF($D32="Actividad","■","◆"),"")</x:f>
      </x:c>
    </x:row>
    <x:row r="33" ht="30" customHeight="1">
      <x:c r="A33" s="85" t="str">
        <x:f>'Plan de trabajo'!A27</x:f>
        <x:v>6.1</x:v>
      </x:c>
      <x:c r="B33" s="86" t="str">
        <x:f>'Plan de trabajo'!D27</x:f>
        <x:v>Validación Lumina y ajustes</x:v>
      </x:c>
      <x:c r="C33" s="86" t="str">
        <x:f>'Plan de trabajo'!J27</x:f>
        <x:v>Matías / Equipo</x:v>
      </x:c>
      <x:c r="D33" s="87" t="str">
        <x:v>Actividad</x:v>
      </x:c>
      <x:c r="E33" s="87" t="n">
        <x:f>'Plan de trabajo'!G27</x:f>
        <x:v>16</x:v>
      </x:c>
      <x:c r="F33" s="87" t="n">
        <x:f>'Plan de trabajo'!H27</x:f>
        <x:v>18</x:v>
      </x:c>
      <x:c r="G33" s="87" t="n">
        <x:f>'Plan de trabajo'!I27</x:f>
        <x:v>3</x:v>
      </x:c>
      <x:c r="H33" s="83" t="str">
        <x:f>IF(AND(H$6&gt;=$E33,H$6&lt;=$F33),IF($D33="Actividad","■","◆"),"")</x:f>
      </x:c>
      <x:c r="I33" s="83" t="str">
        <x:f>IF(AND(I$6&gt;=$E33,I$6&lt;=$F33),IF($D33="Actividad","■","◆"),"")</x:f>
      </x:c>
      <x:c r="J33" s="83" t="str">
        <x:f>IF(AND(J$6&gt;=$E33,J$6&lt;=$F33),IF($D33="Actividad","■","◆"),"")</x:f>
      </x:c>
      <x:c r="K33" s="83" t="str">
        <x:f>IF(AND(K$6&gt;=$E33,K$6&lt;=$F33),IF($D33="Actividad","■","◆"),"")</x:f>
      </x:c>
      <x:c r="L33" s="83" t="str">
        <x:f>IF(AND(L$6&gt;=$E33,L$6&lt;=$F33),IF($D33="Actividad","■","◆"),"")</x:f>
      </x:c>
      <x:c r="M33" s="83" t="str">
        <x:f>IF(AND(M$6&gt;=$E33,M$6&lt;=$F33),IF($D33="Actividad","■","◆"),"")</x:f>
      </x:c>
      <x:c r="N33" s="83" t="str">
        <x:f>IF(AND(N$6&gt;=$E33,N$6&lt;=$F33),IF($D33="Actividad","■","◆"),"")</x:f>
      </x:c>
      <x:c r="O33" s="83" t="str">
        <x:f>IF(AND(O$6&gt;=$E33,O$6&lt;=$F33),IF($D33="Actividad","■","◆"),"")</x:f>
      </x:c>
      <x:c r="P33" s="83" t="str">
        <x:f>IF(AND(P$6&gt;=$E33,P$6&lt;=$F33),IF($D33="Actividad","■","◆"),"")</x:f>
      </x:c>
      <x:c r="Q33" s="83" t="str">
        <x:f>IF(AND(Q$6&gt;=$E33,Q$6&lt;=$F33),IF($D33="Actividad","■","◆"),"")</x:f>
      </x:c>
      <x:c r="R33" s="83" t="str">
        <x:f>IF(AND(R$6&gt;=$E33,R$6&lt;=$F33),IF($D33="Actividad","■","◆"),"")</x:f>
      </x:c>
      <x:c r="S33" s="83" t="str">
        <x:f>IF(AND(S$6&gt;=$E33,S$6&lt;=$F33),IF($D33="Actividad","■","◆"),"")</x:f>
      </x:c>
      <x:c r="T33" s="83" t="str">
        <x:f>IF(AND(T$6&gt;=$E33,T$6&lt;=$F33),IF($D33="Actividad","■","◆"),"")</x:f>
      </x:c>
      <x:c r="U33" s="83" t="str">
        <x:f>IF(AND(U$6&gt;=$E33,U$6&lt;=$F33),IF($D33="Actividad","■","◆"),"")</x:f>
      </x:c>
      <x:c r="V33" s="83" t="str">
        <x:f>IF(AND(V$6&gt;=$E33,V$6&lt;=$F33),IF($D33="Actividad","■","◆"),"")</x:f>
      </x:c>
      <x:c r="W33" s="83" t="str">
        <x:f>IF(AND(W$6&gt;=$E33,W$6&lt;=$F33),IF($D33="Actividad","■","◆"),"")</x:f>
        <x:v>■</x:v>
      </x:c>
      <x:c r="X33" s="83" t="str">
        <x:f>IF(AND(X$6&gt;=$E33,X$6&lt;=$F33),IF($D33="Actividad","■","◆"),"")</x:f>
        <x:v>■</x:v>
      </x:c>
      <x:c r="Y33" s="83" t="str">
        <x:f>IF(AND(Y$6&gt;=$E33,Y$6&lt;=$F33),IF($D33="Actividad","■","◆"),"")</x:f>
        <x:v>■</x:v>
      </x:c>
    </x:row>
    <x:row r="34" ht="30" customHeight="1">
      <x:c r="A34" s="81" t="str">
        <x:f>'Plan de trabajo'!A28</x:f>
        <x:v>6.2</x:v>
      </x:c>
      <x:c r="B34" s="79" t="str">
        <x:f>'Plan de trabajo'!D28</x:f>
        <x:v>Preparación examen y demo</x:v>
      </x:c>
      <x:c r="C34" s="79" t="str">
        <x:f>'Plan de trabajo'!J28</x:f>
        <x:v>Paulo / Matías</x:v>
      </x:c>
      <x:c r="D34" s="83" t="str">
        <x:v>Actividad</x:v>
      </x:c>
      <x:c r="E34" s="83" t="n">
        <x:f>'Plan de trabajo'!G28</x:f>
        <x:v>16</x:v>
      </x:c>
      <x:c r="F34" s="83" t="n">
        <x:f>'Plan de trabajo'!H28</x:f>
        <x:v>18</x:v>
      </x:c>
      <x:c r="G34" s="83" t="n">
        <x:f>'Plan de trabajo'!I28</x:f>
        <x:v>3</x:v>
      </x:c>
      <x:c r="H34" s="83" t="str">
        <x:f>IF(AND(H$6&gt;=$E34,H$6&lt;=$F34),IF($D34="Actividad","■","◆"),"")</x:f>
      </x:c>
      <x:c r="I34" s="83" t="str">
        <x:f>IF(AND(I$6&gt;=$E34,I$6&lt;=$F34),IF($D34="Actividad","■","◆"),"")</x:f>
      </x:c>
      <x:c r="J34" s="83" t="str">
        <x:f>IF(AND(J$6&gt;=$E34,J$6&lt;=$F34),IF($D34="Actividad","■","◆"),"")</x:f>
      </x:c>
      <x:c r="K34" s="83" t="str">
        <x:f>IF(AND(K$6&gt;=$E34,K$6&lt;=$F34),IF($D34="Actividad","■","◆"),"")</x:f>
      </x:c>
      <x:c r="L34" s="83" t="str">
        <x:f>IF(AND(L$6&gt;=$E34,L$6&lt;=$F34),IF($D34="Actividad","■","◆"),"")</x:f>
      </x:c>
      <x:c r="M34" s="83" t="str">
        <x:f>IF(AND(M$6&gt;=$E34,M$6&lt;=$F34),IF($D34="Actividad","■","◆"),"")</x:f>
      </x:c>
      <x:c r="N34" s="83" t="str">
        <x:f>IF(AND(N$6&gt;=$E34,N$6&lt;=$F34),IF($D34="Actividad","■","◆"),"")</x:f>
      </x:c>
      <x:c r="O34" s="83" t="str">
        <x:f>IF(AND(O$6&gt;=$E34,O$6&lt;=$F34),IF($D34="Actividad","■","◆"),"")</x:f>
      </x:c>
      <x:c r="P34" s="83" t="str">
        <x:f>IF(AND(P$6&gt;=$E34,P$6&lt;=$F34),IF($D34="Actividad","■","◆"),"")</x:f>
      </x:c>
      <x:c r="Q34" s="83" t="str">
        <x:f>IF(AND(Q$6&gt;=$E34,Q$6&lt;=$F34),IF($D34="Actividad","■","◆"),"")</x:f>
      </x:c>
      <x:c r="R34" s="83" t="str">
        <x:f>IF(AND(R$6&gt;=$E34,R$6&lt;=$F34),IF($D34="Actividad","■","◆"),"")</x:f>
      </x:c>
      <x:c r="S34" s="83" t="str">
        <x:f>IF(AND(S$6&gt;=$E34,S$6&lt;=$F34),IF($D34="Actividad","■","◆"),"")</x:f>
      </x:c>
      <x:c r="T34" s="83" t="str">
        <x:f>IF(AND(T$6&gt;=$E34,T$6&lt;=$F34),IF($D34="Actividad","■","◆"),"")</x:f>
      </x:c>
      <x:c r="U34" s="83" t="str">
        <x:f>IF(AND(U$6&gt;=$E34,U$6&lt;=$F34),IF($D34="Actividad","■","◆"),"")</x:f>
      </x:c>
      <x:c r="V34" s="83" t="str">
        <x:f>IF(AND(V$6&gt;=$E34,V$6&lt;=$F34),IF($D34="Actividad","■","◆"),"")</x:f>
      </x:c>
      <x:c r="W34" s="83" t="str">
        <x:f>IF(AND(W$6&gt;=$E34,W$6&lt;=$F34),IF($D34="Actividad","■","◆"),"")</x:f>
        <x:v>■</x:v>
      </x:c>
      <x:c r="X34" s="83" t="str">
        <x:f>IF(AND(X$6&gt;=$E34,X$6&lt;=$F34),IF($D34="Actividad","■","◆"),"")</x:f>
        <x:v>■</x:v>
      </x:c>
      <x:c r="Y34" s="83" t="str">
        <x:f>IF(AND(Y$6&gt;=$E34,Y$6&lt;=$F34),IF($D34="Actividad","■","◆"),"")</x:f>
        <x:v>■</x:v>
      </x:c>
    </x:row>
    <x:row r="35" ht="26" customHeight="1">
      <x:c r="A35" s="101" t="str">
        <x:v>H4</x:v>
      </x:c>
      <x:c r="B35" s="101" t="str">
        <x:v>Examen y presentación final</x:v>
      </x:c>
      <x:c r="C35" s="101" t="str">
        <x:v>Equipo</x:v>
      </x:c>
      <x:c r="D35" s="102" t="str">
        <x:v>Hito</x:v>
      </x:c>
      <x:c r="E35" s="102" t="n">
        <x:v>17</x:v>
      </x:c>
      <x:c r="F35" s="102" t="n">
        <x:v>18</x:v>
      </x:c>
      <x:c r="G35" s="102" t="n">
        <x:v>2</x:v>
      </x:c>
      <x:c r="H35" s="84" t="str">
        <x:f>IF(AND(H$6&gt;=$E35,H$6&lt;=$F35),IF($D35="Actividad","■","◆"),"")</x:f>
      </x:c>
      <x:c r="I35" s="84" t="str">
        <x:f>IF(AND(I$6&gt;=$E35,I$6&lt;=$F35),IF($D35="Actividad","■","◆"),"")</x:f>
      </x:c>
      <x:c r="J35" s="84" t="str">
        <x:f>IF(AND(J$6&gt;=$E35,J$6&lt;=$F35),IF($D35="Actividad","■","◆"),"")</x:f>
      </x:c>
      <x:c r="K35" s="84" t="str">
        <x:f>IF(AND(K$6&gt;=$E35,K$6&lt;=$F35),IF($D35="Actividad","■","◆"),"")</x:f>
      </x:c>
      <x:c r="L35" s="84" t="str">
        <x:f>IF(AND(L$6&gt;=$E35,L$6&lt;=$F35),IF($D35="Actividad","■","◆"),"")</x:f>
      </x:c>
      <x:c r="M35" s="84" t="str">
        <x:f>IF(AND(M$6&gt;=$E35,M$6&lt;=$F35),IF($D35="Actividad","■","◆"),"")</x:f>
      </x:c>
      <x:c r="N35" s="84" t="str">
        <x:f>IF(AND(N$6&gt;=$E35,N$6&lt;=$F35),IF($D35="Actividad","■","◆"),"")</x:f>
      </x:c>
      <x:c r="O35" s="84" t="str">
        <x:f>IF(AND(O$6&gt;=$E35,O$6&lt;=$F35),IF($D35="Actividad","■","◆"),"")</x:f>
      </x:c>
      <x:c r="P35" s="84" t="str">
        <x:f>IF(AND(P$6&gt;=$E35,P$6&lt;=$F35),IF($D35="Actividad","■","◆"),"")</x:f>
      </x:c>
      <x:c r="Q35" s="84" t="str">
        <x:f>IF(AND(Q$6&gt;=$E35,Q$6&lt;=$F35),IF($D35="Actividad","■","◆"),"")</x:f>
      </x:c>
      <x:c r="R35" s="84" t="str">
        <x:f>IF(AND(R$6&gt;=$E35,R$6&lt;=$F35),IF($D35="Actividad","■","◆"),"")</x:f>
      </x:c>
      <x:c r="S35" s="84" t="str">
        <x:f>IF(AND(S$6&gt;=$E35,S$6&lt;=$F35),IF($D35="Actividad","■","◆"),"")</x:f>
      </x:c>
      <x:c r="T35" s="84" t="str">
        <x:f>IF(AND(T$6&gt;=$E35,T$6&lt;=$F35),IF($D35="Actividad","■","◆"),"")</x:f>
      </x:c>
      <x:c r="U35" s="84" t="str">
        <x:f>IF(AND(U$6&gt;=$E35,U$6&lt;=$F35),IF($D35="Actividad","■","◆"),"")</x:f>
      </x:c>
      <x:c r="V35" s="84" t="str">
        <x:f>IF(AND(V$6&gt;=$E35,V$6&lt;=$F35),IF($D35="Actividad","■","◆"),"")</x:f>
      </x:c>
      <x:c r="W35" s="84" t="str">
        <x:f>IF(AND(W$6&gt;=$E35,W$6&lt;=$F35),IF($D35="Actividad","■","◆"),"")</x:f>
      </x:c>
      <x:c r="X35" s="84" t="str">
        <x:f>IF(AND(X$6&gt;=$E35,X$6&lt;=$F35),IF($D35="Actividad","■","◆"),"")</x:f>
        <x:v>◆</x:v>
      </x:c>
      <x:c r="Y35" s="84" t="str">
        <x:f>IF(AND(Y$6&gt;=$E35,Y$6&lt;=$F35),IF($D35="Actividad","■","◆"),"")</x:f>
        <x:v>◆</x:v>
      </x:c>
    </x:row>
  </x:sheetData>
  <x:mergeCells>
    <x:mergeCell ref="A3:Y3"/>
    <x:mergeCell ref="E5:G5"/>
  </x:mergeCells>
  <x:conditionalFormatting sqref="H8:Y35">
    <x:cfRule type="expression" dxfId="0" priority="1">
      <x:formula>AND(H$6&gt;=$E8,H$6&lt;=$F8,$D8="Actividad")</x:formula>
    </x:cfRule>
    <x:cfRule type="expression" dxfId="1" priority="2">
      <x:formula>AND(H$6&gt;=$E8,H$6&lt;=$F8,$D8="Hito")</x:formula>
    </x:cfRule>
    <x:cfRule type="expression" dxfId="2" priority="3">
      <x:formula>AND(H$6&gt;=$E8,H$6&lt;=$F8,$D8="Checkpoint")</x:formula>
    </x:cfRule>
  </x:conditionalFormatting>
  <x:pageMargins left="0.7" right="0.7" top="0.75" bottom="0.75" header="0.3" footer="0.3"/>
</x:worksheet>
</file>